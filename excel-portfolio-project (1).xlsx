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29"/>
  <workbookPr/>
  <mc:AlternateContent xmlns:mc="http://schemas.openxmlformats.org/markup-compatibility/2006">
    <mc:Choice Requires="x15">
      <x15ac:absPath xmlns:x15ac="http://schemas.microsoft.com/office/spreadsheetml/2010/11/ac" url="C:\Users\Sys\Downloads\"/>
    </mc:Choice>
  </mc:AlternateContent>
  <xr:revisionPtr revIDLastSave="0" documentId="13_ncr:1_{1871F8D5-CD98-4C00-814F-684F85C314C4}" xr6:coauthVersionLast="40" xr6:coauthVersionMax="47" xr10:uidLastSave="{00000000-0000-0000-0000-000000000000}"/>
  <bookViews>
    <workbookView xWindow="0" yWindow="0" windowWidth="20490" windowHeight="7545" xr2:uid="{00000000-000D-0000-FFFF-FFFF00000000}"/>
  </bookViews>
  <sheets>
    <sheet name="Customer Centre Report" sheetId="6" r:id="rId1"/>
    <sheet name="Pivot" sheetId="7" r:id="rId2"/>
    <sheet name="Data" sheetId="2" r:id="rId3"/>
    <sheet name="Assets " sheetId="8" r:id="rId4"/>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A">#REF!</definedName>
    <definedName name="Slicer_Representative">#N/A</definedName>
  </definedNames>
  <calcPr calcId="181029"/>
  <pivotCaches>
    <pivotCache cacheId="55" r:id="rId5"/>
    <pivotCache cacheId="56" r:id="rId6"/>
    <pivotCache cacheId="57" r:id="rId7"/>
    <pivotCache cacheId="58" r:id="rId8"/>
    <pivotCache cacheId="82" r:id="rId9"/>
    <pivotCache cacheId="85" r:id="rId10"/>
    <pivotCache cacheId="88" r:id="rId11"/>
    <pivotCache cacheId="91" r:id="rId12"/>
    <pivotCache cacheId="94" r:id="rId13"/>
  </pivotCaches>
  <extLst>
    <ext xmlns:x14="http://schemas.microsoft.com/office/spreadsheetml/2009/9/main" uri="{876F7934-8845-4945-9796-88D515C7AA90}">
      <x14:pivotCaches>
        <pivotCache cacheId="64"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F87" i="7" l="1"/>
  <c r="L31" i="6" s="1"/>
  <c r="F77" i="7"/>
  <c r="F84" i="7" s="1"/>
  <c r="M37" i="6" s="1"/>
  <c r="P27" i="6"/>
  <c r="Q27" i="6"/>
  <c r="R27" i="6"/>
  <c r="S27" i="6"/>
  <c r="T27" i="6"/>
  <c r="P37" i="6"/>
  <c r="O28" i="6"/>
  <c r="O29" i="6"/>
  <c r="P29" i="6"/>
  <c r="Q29" i="6"/>
  <c r="R29" i="6"/>
  <c r="S29" i="6"/>
  <c r="T29" i="6"/>
  <c r="U29" i="6"/>
  <c r="O30" i="6"/>
  <c r="P30" i="6"/>
  <c r="Q30" i="6"/>
  <c r="R30" i="6"/>
  <c r="S30" i="6"/>
  <c r="T30" i="6"/>
  <c r="U30" i="6"/>
  <c r="O31" i="6"/>
  <c r="P31" i="6"/>
  <c r="Q31" i="6"/>
  <c r="R31" i="6"/>
  <c r="S31" i="6"/>
  <c r="T31" i="6"/>
  <c r="U31" i="6"/>
  <c r="O32" i="6"/>
  <c r="P32" i="6"/>
  <c r="Q32" i="6"/>
  <c r="R32" i="6"/>
  <c r="S32" i="6"/>
  <c r="T32" i="6"/>
  <c r="U32" i="6"/>
  <c r="O33" i="6"/>
  <c r="O34" i="6"/>
  <c r="P34" i="6"/>
  <c r="Q34" i="6"/>
  <c r="R34" i="6"/>
  <c r="S34" i="6"/>
  <c r="T34" i="6"/>
  <c r="U34" i="6"/>
  <c r="O35" i="6"/>
  <c r="P35" i="6"/>
  <c r="Q35" i="6"/>
  <c r="R35" i="6"/>
  <c r="S35" i="6"/>
  <c r="T35" i="6"/>
  <c r="U35" i="6"/>
  <c r="O36" i="6"/>
  <c r="P36" i="6"/>
  <c r="Q36" i="6"/>
  <c r="R36" i="6"/>
  <c r="S36" i="6"/>
  <c r="T36" i="6"/>
  <c r="U36" i="6"/>
  <c r="O37" i="6"/>
  <c r="Q37" i="6"/>
  <c r="R37" i="6"/>
  <c r="S37" i="6"/>
  <c r="T37" i="6"/>
  <c r="U37" i="6"/>
  <c r="O38" i="6"/>
  <c r="P38" i="6"/>
  <c r="Q38" i="6"/>
  <c r="R38" i="6"/>
  <c r="S38" i="6"/>
  <c r="T38" i="6"/>
  <c r="U38" i="6"/>
  <c r="O39" i="6"/>
  <c r="P39" i="6"/>
  <c r="Q39" i="6"/>
  <c r="R39" i="6"/>
  <c r="S39" i="6"/>
  <c r="T39" i="6"/>
  <c r="U39" i="6"/>
  <c r="O40" i="6"/>
  <c r="O41" i="6"/>
  <c r="P41" i="6"/>
  <c r="Q41" i="6"/>
  <c r="R41" i="6"/>
  <c r="S41" i="6"/>
  <c r="T41" i="6"/>
  <c r="U41" i="6"/>
  <c r="O42" i="6"/>
  <c r="P42" i="6"/>
  <c r="Q42" i="6"/>
  <c r="R42" i="6"/>
  <c r="S42" i="6"/>
  <c r="T42" i="6"/>
  <c r="U42" i="6"/>
  <c r="O43" i="6"/>
  <c r="P43" i="6"/>
  <c r="Q43" i="6"/>
  <c r="R43" i="6"/>
  <c r="S43" i="6"/>
  <c r="T43" i="6"/>
  <c r="U43" i="6"/>
  <c r="O44" i="6"/>
  <c r="P44" i="6"/>
  <c r="Q44" i="6"/>
  <c r="R44" i="6"/>
  <c r="S44" i="6"/>
  <c r="T44" i="6"/>
  <c r="U44" i="6"/>
  <c r="O45" i="6"/>
  <c r="P45" i="6"/>
  <c r="Q45" i="6"/>
  <c r="R45" i="6"/>
  <c r="S45" i="6"/>
  <c r="T45" i="6"/>
  <c r="U45" i="6"/>
  <c r="L1003" i="2" l="1"/>
  <c r="K1003" i="2" a="1"/>
  <c r="K1003" i="2" s="1"/>
  <c r="J1003" i="2"/>
  <c r="I1003" i="2"/>
  <c r="L1002" i="2"/>
  <c r="K1002" i="2" a="1"/>
  <c r="K1002" i="2" s="1"/>
  <c r="J1002" i="2"/>
  <c r="I1002" i="2"/>
  <c r="L1001" i="2"/>
  <c r="K1001" i="2" a="1"/>
  <c r="K1001" i="2" s="1"/>
  <c r="J1001" i="2"/>
  <c r="I1001" i="2"/>
  <c r="L1000" i="2"/>
  <c r="K1000" i="2" a="1"/>
  <c r="K1000" i="2" s="1"/>
  <c r="J1000" i="2"/>
  <c r="I1000" i="2"/>
  <c r="L999" i="2"/>
  <c r="K999" i="2" a="1"/>
  <c r="K999" i="2" s="1"/>
  <c r="J999" i="2"/>
  <c r="I999" i="2"/>
  <c r="L998" i="2"/>
  <c r="K998" i="2" a="1"/>
  <c r="K998" i="2" s="1"/>
  <c r="J998" i="2"/>
  <c r="I998" i="2"/>
  <c r="L997" i="2"/>
  <c r="K997" i="2" a="1"/>
  <c r="K997" i="2" s="1"/>
  <c r="J997" i="2"/>
  <c r="I997" i="2"/>
  <c r="L996" i="2"/>
  <c r="K996" i="2" a="1"/>
  <c r="K996" i="2" s="1"/>
  <c r="J996" i="2"/>
  <c r="I996" i="2"/>
  <c r="L995" i="2"/>
  <c r="K995" i="2" a="1"/>
  <c r="K995" i="2" s="1"/>
  <c r="J995" i="2"/>
  <c r="I995" i="2"/>
  <c r="L994" i="2"/>
  <c r="K994" i="2" a="1"/>
  <c r="K994" i="2" s="1"/>
  <c r="J994" i="2"/>
  <c r="I994" i="2"/>
  <c r="L993" i="2"/>
  <c r="K993" i="2" a="1"/>
  <c r="K993" i="2" s="1"/>
  <c r="J993" i="2"/>
  <c r="I993" i="2"/>
  <c r="L992" i="2"/>
  <c r="K992" i="2" a="1"/>
  <c r="K992" i="2" s="1"/>
  <c r="J992" i="2"/>
  <c r="I992" i="2"/>
  <c r="L991" i="2"/>
  <c r="K991" i="2" a="1"/>
  <c r="K991" i="2" s="1"/>
  <c r="J991" i="2"/>
  <c r="I991" i="2"/>
  <c r="L990" i="2"/>
  <c r="K990" i="2" a="1"/>
  <c r="K990" i="2" s="1"/>
  <c r="J990" i="2"/>
  <c r="I990" i="2"/>
  <c r="L989" i="2"/>
  <c r="K989" i="2" a="1"/>
  <c r="K989" i="2" s="1"/>
  <c r="J989" i="2"/>
  <c r="I989" i="2"/>
  <c r="L988" i="2"/>
  <c r="K988" i="2" a="1"/>
  <c r="K988" i="2" s="1"/>
  <c r="J988" i="2"/>
  <c r="I988" i="2"/>
  <c r="L987" i="2"/>
  <c r="K987" i="2" a="1"/>
  <c r="K987" i="2" s="1"/>
  <c r="J987" i="2"/>
  <c r="I987" i="2"/>
  <c r="L986" i="2"/>
  <c r="K986" i="2" a="1"/>
  <c r="K986" i="2" s="1"/>
  <c r="J986" i="2"/>
  <c r="I986" i="2"/>
  <c r="L985" i="2"/>
  <c r="K985" i="2" a="1"/>
  <c r="K985" i="2" s="1"/>
  <c r="J985" i="2"/>
  <c r="I985" i="2"/>
  <c r="L984" i="2"/>
  <c r="K984" i="2" a="1"/>
  <c r="K984" i="2" s="1"/>
  <c r="J984" i="2"/>
  <c r="I984" i="2"/>
  <c r="L983" i="2"/>
  <c r="K983" i="2" a="1"/>
  <c r="K983" i="2" s="1"/>
  <c r="J983" i="2"/>
  <c r="I983" i="2"/>
  <c r="L982" i="2"/>
  <c r="K982" i="2" a="1"/>
  <c r="K982" i="2" s="1"/>
  <c r="J982" i="2"/>
  <c r="I982" i="2"/>
  <c r="L981" i="2"/>
  <c r="K981" i="2" a="1"/>
  <c r="K981" i="2" s="1"/>
  <c r="J981" i="2"/>
  <c r="I981" i="2"/>
  <c r="L980" i="2"/>
  <c r="K980" i="2" a="1"/>
  <c r="K980" i="2" s="1"/>
  <c r="J980" i="2"/>
  <c r="I980" i="2"/>
  <c r="L979" i="2"/>
  <c r="K979" i="2" a="1"/>
  <c r="K979" i="2" s="1"/>
  <c r="J979" i="2"/>
  <c r="I979" i="2"/>
  <c r="L978" i="2"/>
  <c r="K978" i="2" a="1"/>
  <c r="K978" i="2" s="1"/>
  <c r="J978" i="2"/>
  <c r="I978" i="2"/>
  <c r="L977" i="2"/>
  <c r="K977" i="2" a="1"/>
  <c r="K977" i="2" s="1"/>
  <c r="J977" i="2"/>
  <c r="I977" i="2"/>
  <c r="L976" i="2"/>
  <c r="K976" i="2" a="1"/>
  <c r="K976" i="2" s="1"/>
  <c r="J976" i="2"/>
  <c r="I976" i="2"/>
  <c r="L975" i="2"/>
  <c r="K975" i="2" a="1"/>
  <c r="K975" i="2" s="1"/>
  <c r="J975" i="2"/>
  <c r="I975" i="2"/>
  <c r="L974" i="2"/>
  <c r="K974" i="2" a="1"/>
  <c r="K974" i="2" s="1"/>
  <c r="J974" i="2"/>
  <c r="I974" i="2"/>
  <c r="L973" i="2"/>
  <c r="K973" i="2" a="1"/>
  <c r="K973" i="2" s="1"/>
  <c r="J973" i="2"/>
  <c r="I973" i="2"/>
  <c r="L972" i="2"/>
  <c r="K972" i="2" a="1"/>
  <c r="K972" i="2" s="1"/>
  <c r="J972" i="2"/>
  <c r="I972" i="2"/>
  <c r="L971" i="2"/>
  <c r="K971" i="2" a="1"/>
  <c r="K971" i="2" s="1"/>
  <c r="J971" i="2"/>
  <c r="I971" i="2"/>
  <c r="L970" i="2"/>
  <c r="K970" i="2" a="1"/>
  <c r="K970" i="2" s="1"/>
  <c r="J970" i="2"/>
  <c r="I970" i="2"/>
  <c r="L969" i="2"/>
  <c r="K969" i="2" a="1"/>
  <c r="K969" i="2" s="1"/>
  <c r="J969" i="2"/>
  <c r="I969" i="2"/>
  <c r="L968" i="2"/>
  <c r="K968" i="2" a="1"/>
  <c r="K968" i="2" s="1"/>
  <c r="J968" i="2"/>
  <c r="I968" i="2"/>
  <c r="L967" i="2"/>
  <c r="K967" i="2" a="1"/>
  <c r="K967" i="2" s="1"/>
  <c r="J967" i="2"/>
  <c r="I967" i="2"/>
  <c r="L966" i="2"/>
  <c r="K966" i="2" a="1"/>
  <c r="K966" i="2" s="1"/>
  <c r="J966" i="2"/>
  <c r="I966" i="2"/>
  <c r="L965" i="2"/>
  <c r="K965" i="2" a="1"/>
  <c r="K965" i="2" s="1"/>
  <c r="J965" i="2"/>
  <c r="I965" i="2"/>
  <c r="L964" i="2"/>
  <c r="K964" i="2" a="1"/>
  <c r="K964" i="2" s="1"/>
  <c r="J964" i="2"/>
  <c r="I964" i="2"/>
  <c r="L963" i="2"/>
  <c r="K963" i="2" a="1"/>
  <c r="K963" i="2" s="1"/>
  <c r="J963" i="2"/>
  <c r="I963" i="2"/>
  <c r="L962" i="2"/>
  <c r="K962" i="2" a="1"/>
  <c r="K962" i="2" s="1"/>
  <c r="J962" i="2"/>
  <c r="I962" i="2"/>
  <c r="L961" i="2"/>
  <c r="K961" i="2" a="1"/>
  <c r="K961" i="2" s="1"/>
  <c r="J961" i="2"/>
  <c r="I961" i="2"/>
  <c r="L960" i="2"/>
  <c r="K960" i="2" a="1"/>
  <c r="K960" i="2" s="1"/>
  <c r="J960" i="2"/>
  <c r="I960" i="2"/>
  <c r="L959" i="2"/>
  <c r="K959" i="2" a="1"/>
  <c r="K959" i="2" s="1"/>
  <c r="J959" i="2"/>
  <c r="I959" i="2"/>
  <c r="L958" i="2"/>
  <c r="K958" i="2" a="1"/>
  <c r="K958" i="2" s="1"/>
  <c r="J958" i="2"/>
  <c r="I958" i="2"/>
  <c r="L957" i="2"/>
  <c r="K957" i="2" a="1"/>
  <c r="K957" i="2" s="1"/>
  <c r="J957" i="2"/>
  <c r="I957" i="2"/>
  <c r="L956" i="2"/>
  <c r="K956" i="2" a="1"/>
  <c r="K956" i="2" s="1"/>
  <c r="J956" i="2"/>
  <c r="I956" i="2"/>
  <c r="L955" i="2"/>
  <c r="K955" i="2" a="1"/>
  <c r="K955" i="2" s="1"/>
  <c r="J955" i="2"/>
  <c r="I955" i="2"/>
  <c r="L954" i="2"/>
  <c r="K954" i="2" a="1"/>
  <c r="K954" i="2" s="1"/>
  <c r="J954" i="2"/>
  <c r="I954" i="2"/>
  <c r="L953" i="2"/>
  <c r="K953" i="2" a="1"/>
  <c r="K953" i="2" s="1"/>
  <c r="J953" i="2"/>
  <c r="I953" i="2"/>
  <c r="L952" i="2"/>
  <c r="K952" i="2" a="1"/>
  <c r="K952" i="2" s="1"/>
  <c r="J952" i="2"/>
  <c r="I952" i="2"/>
  <c r="L951" i="2"/>
  <c r="K951" i="2" a="1"/>
  <c r="K951" i="2" s="1"/>
  <c r="J951" i="2"/>
  <c r="I951" i="2"/>
  <c r="L950" i="2"/>
  <c r="K950" i="2" a="1"/>
  <c r="K950" i="2" s="1"/>
  <c r="J950" i="2"/>
  <c r="I950" i="2"/>
  <c r="L949" i="2"/>
  <c r="K949" i="2" a="1"/>
  <c r="K949" i="2" s="1"/>
  <c r="J949" i="2"/>
  <c r="I949" i="2"/>
  <c r="L948" i="2"/>
  <c r="K948" i="2" a="1"/>
  <c r="K948" i="2" s="1"/>
  <c r="J948" i="2"/>
  <c r="I948" i="2"/>
  <c r="L947" i="2"/>
  <c r="K947" i="2" a="1"/>
  <c r="K947" i="2" s="1"/>
  <c r="J947" i="2"/>
  <c r="I947" i="2"/>
  <c r="L946" i="2"/>
  <c r="K946" i="2" a="1"/>
  <c r="K946" i="2" s="1"/>
  <c r="J946" i="2"/>
  <c r="I946" i="2"/>
  <c r="L945" i="2"/>
  <c r="K945" i="2" a="1"/>
  <c r="K945" i="2" s="1"/>
  <c r="J945" i="2"/>
  <c r="I945" i="2"/>
  <c r="L944" i="2"/>
  <c r="K944" i="2" a="1"/>
  <c r="K944" i="2" s="1"/>
  <c r="J944" i="2"/>
  <c r="I944" i="2"/>
  <c r="L943" i="2"/>
  <c r="K943" i="2" a="1"/>
  <c r="K943" i="2" s="1"/>
  <c r="J943" i="2"/>
  <c r="I943" i="2"/>
  <c r="L942" i="2"/>
  <c r="K942" i="2" a="1"/>
  <c r="K942" i="2" s="1"/>
  <c r="J942" i="2"/>
  <c r="I942" i="2"/>
  <c r="L941" i="2"/>
  <c r="K941" i="2" a="1"/>
  <c r="K941" i="2" s="1"/>
  <c r="J941" i="2"/>
  <c r="I941" i="2"/>
  <c r="L940" i="2"/>
  <c r="K940" i="2" a="1"/>
  <c r="K940" i="2" s="1"/>
  <c r="J940" i="2"/>
  <c r="I940" i="2"/>
  <c r="L939" i="2"/>
  <c r="K939" i="2" a="1"/>
  <c r="K939" i="2" s="1"/>
  <c r="J939" i="2"/>
  <c r="I939" i="2"/>
  <c r="L938" i="2"/>
  <c r="K938" i="2" a="1"/>
  <c r="K938" i="2" s="1"/>
  <c r="J938" i="2"/>
  <c r="I938" i="2"/>
  <c r="L937" i="2"/>
  <c r="K937" i="2" a="1"/>
  <c r="K937" i="2" s="1"/>
  <c r="J937" i="2"/>
  <c r="I937" i="2"/>
  <c r="L936" i="2"/>
  <c r="K936" i="2" a="1"/>
  <c r="K936" i="2" s="1"/>
  <c r="J936" i="2"/>
  <c r="I936" i="2"/>
  <c r="L935" i="2"/>
  <c r="K935" i="2" a="1"/>
  <c r="K935" i="2" s="1"/>
  <c r="J935" i="2"/>
  <c r="I935" i="2"/>
  <c r="L934" i="2"/>
  <c r="K934" i="2" a="1"/>
  <c r="K934" i="2" s="1"/>
  <c r="J934" i="2"/>
  <c r="I934" i="2"/>
  <c r="L933" i="2"/>
  <c r="K933" i="2" a="1"/>
  <c r="K933" i="2" s="1"/>
  <c r="J933" i="2"/>
  <c r="I933" i="2"/>
  <c r="L932" i="2"/>
  <c r="K932" i="2" a="1"/>
  <c r="K932" i="2" s="1"/>
  <c r="J932" i="2"/>
  <c r="I932" i="2"/>
  <c r="L931" i="2"/>
  <c r="K931" i="2" a="1"/>
  <c r="K931" i="2" s="1"/>
  <c r="J931" i="2"/>
  <c r="I931" i="2"/>
  <c r="L930" i="2"/>
  <c r="K930" i="2" a="1"/>
  <c r="K930" i="2" s="1"/>
  <c r="J930" i="2"/>
  <c r="I930" i="2"/>
  <c r="L929" i="2"/>
  <c r="K929" i="2" a="1"/>
  <c r="K929" i="2" s="1"/>
  <c r="J929" i="2"/>
  <c r="I929" i="2"/>
  <c r="L928" i="2"/>
  <c r="K928" i="2" a="1"/>
  <c r="K928" i="2" s="1"/>
  <c r="J928" i="2"/>
  <c r="I928" i="2"/>
  <c r="L927" i="2"/>
  <c r="K927" i="2" a="1"/>
  <c r="K927" i="2" s="1"/>
  <c r="J927" i="2"/>
  <c r="I927" i="2"/>
  <c r="L926" i="2"/>
  <c r="K926" i="2" a="1"/>
  <c r="K926" i="2" s="1"/>
  <c r="J926" i="2"/>
  <c r="I926" i="2"/>
  <c r="L925" i="2"/>
  <c r="K925" i="2" a="1"/>
  <c r="K925" i="2" s="1"/>
  <c r="J925" i="2"/>
  <c r="I925" i="2"/>
  <c r="L924" i="2"/>
  <c r="K924" i="2" a="1"/>
  <c r="K924" i="2" s="1"/>
  <c r="J924" i="2"/>
  <c r="I924" i="2"/>
  <c r="L923" i="2"/>
  <c r="K923" i="2" a="1"/>
  <c r="K923" i="2" s="1"/>
  <c r="J923" i="2"/>
  <c r="I923" i="2"/>
  <c r="L922" i="2"/>
  <c r="K922" i="2" a="1"/>
  <c r="K922" i="2" s="1"/>
  <c r="J922" i="2"/>
  <c r="I922" i="2"/>
  <c r="L921" i="2"/>
  <c r="K921" i="2" a="1"/>
  <c r="K921" i="2" s="1"/>
  <c r="J921" i="2"/>
  <c r="I921" i="2"/>
  <c r="L920" i="2"/>
  <c r="K920" i="2" a="1"/>
  <c r="K920" i="2" s="1"/>
  <c r="J920" i="2"/>
  <c r="I920" i="2"/>
  <c r="L919" i="2"/>
  <c r="K919" i="2" a="1"/>
  <c r="K919" i="2" s="1"/>
  <c r="J919" i="2"/>
  <c r="I919" i="2"/>
  <c r="L918" i="2"/>
  <c r="K918" i="2" a="1"/>
  <c r="K918" i="2" s="1"/>
  <c r="J918" i="2"/>
  <c r="I918" i="2"/>
  <c r="L917" i="2"/>
  <c r="K917" i="2" a="1"/>
  <c r="K917" i="2" s="1"/>
  <c r="J917" i="2"/>
  <c r="I917" i="2"/>
  <c r="L916" i="2"/>
  <c r="K916" i="2" a="1"/>
  <c r="K916" i="2" s="1"/>
  <c r="J916" i="2"/>
  <c r="I916" i="2"/>
  <c r="L915" i="2"/>
  <c r="K915" i="2" a="1"/>
  <c r="K915" i="2" s="1"/>
  <c r="J915" i="2"/>
  <c r="I915" i="2"/>
  <c r="L914" i="2"/>
  <c r="K914" i="2" a="1"/>
  <c r="K914" i="2" s="1"/>
  <c r="J914" i="2"/>
  <c r="I914" i="2"/>
  <c r="L913" i="2"/>
  <c r="K913" i="2" a="1"/>
  <c r="K913" i="2" s="1"/>
  <c r="J913" i="2"/>
  <c r="I913" i="2"/>
  <c r="L912" i="2"/>
  <c r="K912" i="2" a="1"/>
  <c r="K912" i="2" s="1"/>
  <c r="J912" i="2"/>
  <c r="I912" i="2"/>
  <c r="L911" i="2"/>
  <c r="K911" i="2" a="1"/>
  <c r="K911" i="2" s="1"/>
  <c r="J911" i="2"/>
  <c r="I911" i="2"/>
  <c r="L910" i="2"/>
  <c r="K910" i="2" a="1"/>
  <c r="K910" i="2" s="1"/>
  <c r="J910" i="2"/>
  <c r="I910" i="2"/>
  <c r="L909" i="2"/>
  <c r="K909" i="2" a="1"/>
  <c r="K909" i="2" s="1"/>
  <c r="J909" i="2"/>
  <c r="I909" i="2"/>
  <c r="L908" i="2"/>
  <c r="K908" i="2" a="1"/>
  <c r="K908" i="2" s="1"/>
  <c r="J908" i="2"/>
  <c r="I908" i="2"/>
  <c r="L907" i="2"/>
  <c r="K907" i="2" a="1"/>
  <c r="K907" i="2" s="1"/>
  <c r="J907" i="2"/>
  <c r="I907" i="2"/>
  <c r="L906" i="2"/>
  <c r="K906" i="2" a="1"/>
  <c r="K906" i="2" s="1"/>
  <c r="J906" i="2"/>
  <c r="I906" i="2"/>
  <c r="L905" i="2"/>
  <c r="K905" i="2" a="1"/>
  <c r="K905" i="2" s="1"/>
  <c r="J905" i="2"/>
  <c r="I905" i="2"/>
  <c r="L904" i="2"/>
  <c r="K904" i="2" a="1"/>
  <c r="K904" i="2" s="1"/>
  <c r="J904" i="2"/>
  <c r="I904" i="2"/>
  <c r="L903" i="2"/>
  <c r="K903" i="2" a="1"/>
  <c r="K903" i="2" s="1"/>
  <c r="J903" i="2"/>
  <c r="I903" i="2"/>
  <c r="L902" i="2"/>
  <c r="K902" i="2" a="1"/>
  <c r="K902" i="2" s="1"/>
  <c r="J902" i="2"/>
  <c r="I902" i="2"/>
  <c r="L901" i="2"/>
  <c r="K901" i="2" a="1"/>
  <c r="K901" i="2" s="1"/>
  <c r="J901" i="2"/>
  <c r="I901" i="2"/>
  <c r="L900" i="2"/>
  <c r="K900" i="2" a="1"/>
  <c r="K900" i="2" s="1"/>
  <c r="J900" i="2"/>
  <c r="I900" i="2"/>
  <c r="L899" i="2"/>
  <c r="K899" i="2" a="1"/>
  <c r="K899" i="2" s="1"/>
  <c r="J899" i="2"/>
  <c r="I899" i="2"/>
  <c r="L898" i="2"/>
  <c r="K898" i="2" a="1"/>
  <c r="K898" i="2" s="1"/>
  <c r="J898" i="2"/>
  <c r="I898" i="2"/>
  <c r="L897" i="2"/>
  <c r="K897" i="2" a="1"/>
  <c r="K897" i="2" s="1"/>
  <c r="J897" i="2"/>
  <c r="I897" i="2"/>
  <c r="L896" i="2"/>
  <c r="K896" i="2" a="1"/>
  <c r="K896" i="2" s="1"/>
  <c r="J896" i="2"/>
  <c r="I896" i="2"/>
  <c r="L895" i="2"/>
  <c r="K895" i="2" a="1"/>
  <c r="K895" i="2" s="1"/>
  <c r="J895" i="2"/>
  <c r="I895" i="2"/>
  <c r="L894" i="2"/>
  <c r="K894" i="2" a="1"/>
  <c r="K894" i="2" s="1"/>
  <c r="J894" i="2"/>
  <c r="I894" i="2"/>
  <c r="L893" i="2"/>
  <c r="K893" i="2" a="1"/>
  <c r="K893" i="2" s="1"/>
  <c r="J893" i="2"/>
  <c r="I893" i="2"/>
  <c r="L892" i="2"/>
  <c r="K892" i="2" a="1"/>
  <c r="K892" i="2" s="1"/>
  <c r="J892" i="2"/>
  <c r="I892" i="2"/>
  <c r="L891" i="2"/>
  <c r="K891" i="2" a="1"/>
  <c r="K891" i="2" s="1"/>
  <c r="J891" i="2"/>
  <c r="I891" i="2"/>
  <c r="L890" i="2"/>
  <c r="K890" i="2" a="1"/>
  <c r="K890" i="2" s="1"/>
  <c r="J890" i="2"/>
  <c r="I890" i="2"/>
  <c r="L889" i="2"/>
  <c r="K889" i="2" a="1"/>
  <c r="K889" i="2" s="1"/>
  <c r="J889" i="2"/>
  <c r="I889" i="2"/>
  <c r="L888" i="2"/>
  <c r="K888" i="2" a="1"/>
  <c r="K888" i="2" s="1"/>
  <c r="J888" i="2"/>
  <c r="I888" i="2"/>
  <c r="L887" i="2"/>
  <c r="K887" i="2" a="1"/>
  <c r="K887" i="2" s="1"/>
  <c r="J887" i="2"/>
  <c r="I887" i="2"/>
  <c r="L886" i="2"/>
  <c r="K886" i="2" a="1"/>
  <c r="K886" i="2" s="1"/>
  <c r="J886" i="2"/>
  <c r="I886" i="2"/>
  <c r="L885" i="2"/>
  <c r="K885" i="2" a="1"/>
  <c r="K885" i="2" s="1"/>
  <c r="J885" i="2"/>
  <c r="I885" i="2"/>
  <c r="L884" i="2"/>
  <c r="K884" i="2" a="1"/>
  <c r="K884" i="2" s="1"/>
  <c r="J884" i="2"/>
  <c r="I884" i="2"/>
  <c r="L883" i="2"/>
  <c r="K883" i="2" a="1"/>
  <c r="K883" i="2" s="1"/>
  <c r="J883" i="2"/>
  <c r="I883" i="2"/>
  <c r="L882" i="2"/>
  <c r="K882" i="2" a="1"/>
  <c r="K882" i="2" s="1"/>
  <c r="J882" i="2"/>
  <c r="I882" i="2"/>
  <c r="L881" i="2"/>
  <c r="K881" i="2" a="1"/>
  <c r="K881" i="2" s="1"/>
  <c r="J881" i="2"/>
  <c r="I881" i="2"/>
  <c r="L880" i="2"/>
  <c r="K880" i="2" a="1"/>
  <c r="K880" i="2" s="1"/>
  <c r="J880" i="2"/>
  <c r="I880" i="2"/>
  <c r="L879" i="2"/>
  <c r="K879" i="2" a="1"/>
  <c r="K879" i="2" s="1"/>
  <c r="J879" i="2"/>
  <c r="I879" i="2"/>
  <c r="L878" i="2"/>
  <c r="K878" i="2" a="1"/>
  <c r="K878" i="2" s="1"/>
  <c r="J878" i="2"/>
  <c r="I878" i="2"/>
  <c r="L877" i="2"/>
  <c r="K877" i="2" a="1"/>
  <c r="K877" i="2" s="1"/>
  <c r="J877" i="2"/>
  <c r="I877" i="2"/>
  <c r="L876" i="2"/>
  <c r="K876" i="2" a="1"/>
  <c r="K876" i="2" s="1"/>
  <c r="J876" i="2"/>
  <c r="I876" i="2"/>
  <c r="L875" i="2"/>
  <c r="K875" i="2" a="1"/>
  <c r="K875" i="2" s="1"/>
  <c r="J875" i="2"/>
  <c r="I875" i="2"/>
  <c r="L874" i="2"/>
  <c r="K874" i="2" a="1"/>
  <c r="K874" i="2" s="1"/>
  <c r="J874" i="2"/>
  <c r="I874" i="2"/>
  <c r="L873" i="2"/>
  <c r="K873" i="2" a="1"/>
  <c r="K873" i="2" s="1"/>
  <c r="J873" i="2"/>
  <c r="I873" i="2"/>
  <c r="L872" i="2"/>
  <c r="K872" i="2" a="1"/>
  <c r="K872" i="2" s="1"/>
  <c r="J872" i="2"/>
  <c r="I872" i="2"/>
  <c r="L871" i="2"/>
  <c r="K871" i="2" a="1"/>
  <c r="K871" i="2" s="1"/>
  <c r="J871" i="2"/>
  <c r="I871" i="2"/>
  <c r="L870" i="2"/>
  <c r="K870" i="2" a="1"/>
  <c r="K870" i="2" s="1"/>
  <c r="J870" i="2"/>
  <c r="I870" i="2"/>
  <c r="L869" i="2"/>
  <c r="K869" i="2" a="1"/>
  <c r="K869" i="2" s="1"/>
  <c r="J869" i="2"/>
  <c r="I869" i="2"/>
  <c r="L868" i="2"/>
  <c r="K868" i="2" a="1"/>
  <c r="K868" i="2" s="1"/>
  <c r="J868" i="2"/>
  <c r="I868" i="2"/>
  <c r="L867" i="2"/>
  <c r="K867" i="2" a="1"/>
  <c r="K867" i="2" s="1"/>
  <c r="J867" i="2"/>
  <c r="I867" i="2"/>
  <c r="L866" i="2"/>
  <c r="K866" i="2" a="1"/>
  <c r="K866" i="2" s="1"/>
  <c r="J866" i="2"/>
  <c r="I866" i="2"/>
  <c r="L865" i="2"/>
  <c r="K865" i="2" a="1"/>
  <c r="K865" i="2" s="1"/>
  <c r="J865" i="2"/>
  <c r="I865" i="2"/>
  <c r="L864" i="2"/>
  <c r="K864" i="2" a="1"/>
  <c r="K864" i="2" s="1"/>
  <c r="J864" i="2"/>
  <c r="I864" i="2"/>
  <c r="L863" i="2"/>
  <c r="K863" i="2" a="1"/>
  <c r="K863" i="2" s="1"/>
  <c r="J863" i="2"/>
  <c r="I863" i="2"/>
  <c r="L862" i="2"/>
  <c r="K862" i="2" a="1"/>
  <c r="K862" i="2" s="1"/>
  <c r="J862" i="2"/>
  <c r="I862" i="2"/>
  <c r="L861" i="2"/>
  <c r="K861" i="2" a="1"/>
  <c r="K861" i="2" s="1"/>
  <c r="J861" i="2"/>
  <c r="I861" i="2"/>
  <c r="L860" i="2"/>
  <c r="K860" i="2" a="1"/>
  <c r="K860" i="2" s="1"/>
  <c r="J860" i="2"/>
  <c r="I860" i="2"/>
  <c r="L859" i="2"/>
  <c r="K859" i="2" a="1"/>
  <c r="K859" i="2" s="1"/>
  <c r="J859" i="2"/>
  <c r="I859" i="2"/>
  <c r="L858" i="2"/>
  <c r="K858" i="2" a="1"/>
  <c r="K858" i="2" s="1"/>
  <c r="J858" i="2"/>
  <c r="I858" i="2"/>
  <c r="L857" i="2"/>
  <c r="K857" i="2" a="1"/>
  <c r="K857" i="2" s="1"/>
  <c r="J857" i="2"/>
  <c r="I857" i="2"/>
  <c r="L856" i="2"/>
  <c r="K856" i="2" a="1"/>
  <c r="K856" i="2" s="1"/>
  <c r="J856" i="2"/>
  <c r="I856" i="2"/>
  <c r="L855" i="2"/>
  <c r="K855" i="2" a="1"/>
  <c r="K855" i="2" s="1"/>
  <c r="J855" i="2"/>
  <c r="I855" i="2"/>
  <c r="L854" i="2"/>
  <c r="K854" i="2" a="1"/>
  <c r="K854" i="2" s="1"/>
  <c r="J854" i="2"/>
  <c r="I854" i="2"/>
  <c r="L853" i="2"/>
  <c r="K853" i="2" a="1"/>
  <c r="K853" i="2" s="1"/>
  <c r="J853" i="2"/>
  <c r="I853" i="2"/>
  <c r="L852" i="2"/>
  <c r="K852" i="2" a="1"/>
  <c r="K852" i="2" s="1"/>
  <c r="J852" i="2"/>
  <c r="I852" i="2"/>
  <c r="L851" i="2"/>
  <c r="K851" i="2" a="1"/>
  <c r="K851" i="2" s="1"/>
  <c r="J851" i="2"/>
  <c r="I851" i="2"/>
  <c r="L850" i="2"/>
  <c r="K850" i="2" a="1"/>
  <c r="K850" i="2" s="1"/>
  <c r="J850" i="2"/>
  <c r="I850" i="2"/>
  <c r="L849" i="2"/>
  <c r="K849" i="2" a="1"/>
  <c r="K849" i="2" s="1"/>
  <c r="J849" i="2"/>
  <c r="I849" i="2"/>
  <c r="L848" i="2"/>
  <c r="K848" i="2" a="1"/>
  <c r="K848" i="2" s="1"/>
  <c r="J848" i="2"/>
  <c r="I848" i="2"/>
  <c r="L847" i="2"/>
  <c r="K847" i="2" a="1"/>
  <c r="K847" i="2" s="1"/>
  <c r="J847" i="2"/>
  <c r="I847" i="2"/>
  <c r="L846" i="2"/>
  <c r="K846" i="2" a="1"/>
  <c r="K846" i="2" s="1"/>
  <c r="J846" i="2"/>
  <c r="I846" i="2"/>
  <c r="L845" i="2"/>
  <c r="K845" i="2" a="1"/>
  <c r="K845" i="2" s="1"/>
  <c r="J845" i="2"/>
  <c r="I845" i="2"/>
  <c r="L844" i="2"/>
  <c r="K844" i="2" a="1"/>
  <c r="K844" i="2" s="1"/>
  <c r="J844" i="2"/>
  <c r="I844" i="2"/>
  <c r="L843" i="2"/>
  <c r="K843" i="2" a="1"/>
  <c r="K843" i="2" s="1"/>
  <c r="J843" i="2"/>
  <c r="I843" i="2"/>
  <c r="L842" i="2"/>
  <c r="K842" i="2" a="1"/>
  <c r="K842" i="2" s="1"/>
  <c r="J842" i="2"/>
  <c r="I842" i="2"/>
  <c r="L841" i="2"/>
  <c r="K841" i="2" a="1"/>
  <c r="K841" i="2" s="1"/>
  <c r="J841" i="2"/>
  <c r="I841" i="2"/>
  <c r="L840" i="2"/>
  <c r="K840" i="2" a="1"/>
  <c r="K840" i="2" s="1"/>
  <c r="J840" i="2"/>
  <c r="I840" i="2"/>
  <c r="L839" i="2"/>
  <c r="K839" i="2" a="1"/>
  <c r="K839" i="2" s="1"/>
  <c r="J839" i="2"/>
  <c r="I839" i="2"/>
  <c r="L838" i="2"/>
  <c r="K838" i="2" a="1"/>
  <c r="K838" i="2" s="1"/>
  <c r="J838" i="2"/>
  <c r="I838" i="2"/>
  <c r="L837" i="2"/>
  <c r="K837" i="2" a="1"/>
  <c r="K837" i="2" s="1"/>
  <c r="J837" i="2"/>
  <c r="I837" i="2"/>
  <c r="L836" i="2"/>
  <c r="K836" i="2" a="1"/>
  <c r="K836" i="2" s="1"/>
  <c r="J836" i="2"/>
  <c r="I836" i="2"/>
  <c r="L835" i="2"/>
  <c r="K835" i="2" a="1"/>
  <c r="K835" i="2" s="1"/>
  <c r="J835" i="2"/>
  <c r="I835" i="2"/>
  <c r="L834" i="2"/>
  <c r="K834" i="2" a="1"/>
  <c r="K834" i="2" s="1"/>
  <c r="J834" i="2"/>
  <c r="I834" i="2"/>
  <c r="L833" i="2"/>
  <c r="K833" i="2" a="1"/>
  <c r="K833" i="2" s="1"/>
  <c r="J833" i="2"/>
  <c r="I833" i="2"/>
  <c r="L832" i="2"/>
  <c r="K832" i="2" a="1"/>
  <c r="K832" i="2" s="1"/>
  <c r="J832" i="2"/>
  <c r="I832" i="2"/>
  <c r="L831" i="2"/>
  <c r="K831" i="2" a="1"/>
  <c r="K831" i="2" s="1"/>
  <c r="J831" i="2"/>
  <c r="I831" i="2"/>
  <c r="L830" i="2"/>
  <c r="K830" i="2" a="1"/>
  <c r="K830" i="2" s="1"/>
  <c r="J830" i="2"/>
  <c r="I830" i="2"/>
  <c r="L829" i="2"/>
  <c r="K829" i="2" a="1"/>
  <c r="K829" i="2" s="1"/>
  <c r="J829" i="2"/>
  <c r="I829" i="2"/>
  <c r="L828" i="2"/>
  <c r="K828" i="2" a="1"/>
  <c r="K828" i="2" s="1"/>
  <c r="J828" i="2"/>
  <c r="I828" i="2"/>
  <c r="L827" i="2"/>
  <c r="K827" i="2" a="1"/>
  <c r="K827" i="2" s="1"/>
  <c r="J827" i="2"/>
  <c r="I827" i="2"/>
  <c r="L826" i="2"/>
  <c r="K826" i="2" a="1"/>
  <c r="K826" i="2" s="1"/>
  <c r="J826" i="2"/>
  <c r="I826" i="2"/>
  <c r="L825" i="2"/>
  <c r="K825" i="2" a="1"/>
  <c r="K825" i="2" s="1"/>
  <c r="J825" i="2"/>
  <c r="I825" i="2"/>
  <c r="L824" i="2"/>
  <c r="K824" i="2" a="1"/>
  <c r="K824" i="2" s="1"/>
  <c r="J824" i="2"/>
  <c r="I824" i="2"/>
  <c r="L823" i="2"/>
  <c r="K823" i="2" a="1"/>
  <c r="K823" i="2" s="1"/>
  <c r="J823" i="2"/>
  <c r="I823" i="2"/>
  <c r="L822" i="2"/>
  <c r="K822" i="2" a="1"/>
  <c r="K822" i="2" s="1"/>
  <c r="J822" i="2"/>
  <c r="I822" i="2"/>
  <c r="L821" i="2"/>
  <c r="K821" i="2" a="1"/>
  <c r="K821" i="2" s="1"/>
  <c r="J821" i="2"/>
  <c r="I821" i="2"/>
  <c r="L820" i="2"/>
  <c r="K820" i="2" a="1"/>
  <c r="K820" i="2" s="1"/>
  <c r="J820" i="2"/>
  <c r="I820" i="2"/>
  <c r="L819" i="2"/>
  <c r="K819" i="2" a="1"/>
  <c r="K819" i="2" s="1"/>
  <c r="J819" i="2"/>
  <c r="I819" i="2"/>
  <c r="L818" i="2"/>
  <c r="K818" i="2" a="1"/>
  <c r="K818" i="2" s="1"/>
  <c r="J818" i="2"/>
  <c r="I818" i="2"/>
  <c r="L817" i="2"/>
  <c r="K817" i="2" a="1"/>
  <c r="K817" i="2" s="1"/>
  <c r="J817" i="2"/>
  <c r="I817" i="2"/>
  <c r="L816" i="2"/>
  <c r="K816" i="2" a="1"/>
  <c r="K816" i="2" s="1"/>
  <c r="J816" i="2"/>
  <c r="I816" i="2"/>
  <c r="L815" i="2"/>
  <c r="K815" i="2" a="1"/>
  <c r="K815" i="2" s="1"/>
  <c r="J815" i="2"/>
  <c r="I815" i="2"/>
  <c r="L814" i="2"/>
  <c r="K814" i="2" a="1"/>
  <c r="K814" i="2" s="1"/>
  <c r="J814" i="2"/>
  <c r="I814" i="2"/>
  <c r="L813" i="2"/>
  <c r="K813" i="2" a="1"/>
  <c r="K813" i="2" s="1"/>
  <c r="J813" i="2"/>
  <c r="I813" i="2"/>
  <c r="L812" i="2"/>
  <c r="K812" i="2" a="1"/>
  <c r="K812" i="2" s="1"/>
  <c r="J812" i="2"/>
  <c r="I812" i="2"/>
  <c r="L811" i="2"/>
  <c r="K811" i="2" a="1"/>
  <c r="K811" i="2" s="1"/>
  <c r="J811" i="2"/>
  <c r="I811" i="2"/>
  <c r="L810" i="2"/>
  <c r="K810" i="2" a="1"/>
  <c r="K810" i="2" s="1"/>
  <c r="J810" i="2"/>
  <c r="I810" i="2"/>
  <c r="L809" i="2"/>
  <c r="K809" i="2" a="1"/>
  <c r="K809" i="2" s="1"/>
  <c r="J809" i="2"/>
  <c r="I809" i="2"/>
  <c r="L808" i="2"/>
  <c r="K808" i="2" a="1"/>
  <c r="K808" i="2" s="1"/>
  <c r="J808" i="2"/>
  <c r="I808" i="2"/>
  <c r="L807" i="2"/>
  <c r="K807" i="2" a="1"/>
  <c r="K807" i="2" s="1"/>
  <c r="J807" i="2"/>
  <c r="I807" i="2"/>
  <c r="L806" i="2"/>
  <c r="K806" i="2" a="1"/>
  <c r="K806" i="2" s="1"/>
  <c r="J806" i="2"/>
  <c r="I806" i="2"/>
  <c r="L805" i="2"/>
  <c r="K805" i="2" a="1"/>
  <c r="K805" i="2" s="1"/>
  <c r="J805" i="2"/>
  <c r="I805" i="2"/>
  <c r="L804" i="2"/>
  <c r="K804" i="2" a="1"/>
  <c r="K804" i="2" s="1"/>
  <c r="J804" i="2"/>
  <c r="I804" i="2"/>
  <c r="L803" i="2"/>
  <c r="K803" i="2" a="1"/>
  <c r="K803" i="2" s="1"/>
  <c r="J803" i="2"/>
  <c r="I803" i="2"/>
  <c r="L802" i="2"/>
  <c r="K802" i="2" a="1"/>
  <c r="K802" i="2" s="1"/>
  <c r="J802" i="2"/>
  <c r="I802" i="2"/>
  <c r="L801" i="2"/>
  <c r="K801" i="2" a="1"/>
  <c r="K801" i="2" s="1"/>
  <c r="J801" i="2"/>
  <c r="I801" i="2"/>
  <c r="L800" i="2"/>
  <c r="K800" i="2" a="1"/>
  <c r="K800" i="2" s="1"/>
  <c r="J800" i="2"/>
  <c r="I800" i="2"/>
  <c r="L799" i="2"/>
  <c r="K799" i="2" a="1"/>
  <c r="K799" i="2" s="1"/>
  <c r="J799" i="2"/>
  <c r="I799" i="2"/>
  <c r="L798" i="2"/>
  <c r="K798" i="2" a="1"/>
  <c r="K798" i="2" s="1"/>
  <c r="J798" i="2"/>
  <c r="I798" i="2"/>
  <c r="L797" i="2"/>
  <c r="K797" i="2" a="1"/>
  <c r="K797" i="2" s="1"/>
  <c r="J797" i="2"/>
  <c r="I797" i="2"/>
  <c r="L796" i="2"/>
  <c r="K796" i="2" a="1"/>
  <c r="K796" i="2" s="1"/>
  <c r="J796" i="2"/>
  <c r="I796" i="2"/>
  <c r="L795" i="2"/>
  <c r="K795" i="2" a="1"/>
  <c r="K795" i="2" s="1"/>
  <c r="J795" i="2"/>
  <c r="I795" i="2"/>
  <c r="L794" i="2"/>
  <c r="K794" i="2" a="1"/>
  <c r="K794" i="2" s="1"/>
  <c r="J794" i="2"/>
  <c r="I794" i="2"/>
  <c r="L793" i="2"/>
  <c r="K793" i="2" a="1"/>
  <c r="K793" i="2" s="1"/>
  <c r="J793" i="2"/>
  <c r="I793" i="2"/>
  <c r="L792" i="2"/>
  <c r="K792" i="2" a="1"/>
  <c r="K792" i="2" s="1"/>
  <c r="J792" i="2"/>
  <c r="I792" i="2"/>
  <c r="L791" i="2"/>
  <c r="K791" i="2" a="1"/>
  <c r="K791" i="2" s="1"/>
  <c r="J791" i="2"/>
  <c r="I791" i="2"/>
  <c r="L790" i="2"/>
  <c r="K790" i="2" a="1"/>
  <c r="K790" i="2" s="1"/>
  <c r="J790" i="2"/>
  <c r="I790" i="2"/>
  <c r="L789" i="2"/>
  <c r="K789" i="2" a="1"/>
  <c r="K789" i="2" s="1"/>
  <c r="J789" i="2"/>
  <c r="I789" i="2"/>
  <c r="L788" i="2"/>
  <c r="K788" i="2" a="1"/>
  <c r="K788" i="2" s="1"/>
  <c r="J788" i="2"/>
  <c r="I788" i="2"/>
  <c r="L787" i="2"/>
  <c r="K787" i="2" a="1"/>
  <c r="K787" i="2" s="1"/>
  <c r="J787" i="2"/>
  <c r="I787" i="2"/>
  <c r="L786" i="2"/>
  <c r="K786" i="2" a="1"/>
  <c r="K786" i="2" s="1"/>
  <c r="J786" i="2"/>
  <c r="I786" i="2"/>
  <c r="L785" i="2"/>
  <c r="K785" i="2" a="1"/>
  <c r="K785" i="2" s="1"/>
  <c r="J785" i="2"/>
  <c r="I785" i="2"/>
  <c r="L784" i="2"/>
  <c r="K784" i="2" a="1"/>
  <c r="K784" i="2" s="1"/>
  <c r="J784" i="2"/>
  <c r="I784" i="2"/>
  <c r="L783" i="2"/>
  <c r="K783" i="2" a="1"/>
  <c r="K783" i="2" s="1"/>
  <c r="J783" i="2"/>
  <c r="I783" i="2"/>
  <c r="L782" i="2"/>
  <c r="K782" i="2" a="1"/>
  <c r="K782" i="2" s="1"/>
  <c r="J782" i="2"/>
  <c r="I782" i="2"/>
  <c r="L781" i="2"/>
  <c r="K781" i="2" a="1"/>
  <c r="K781" i="2" s="1"/>
  <c r="J781" i="2"/>
  <c r="I781" i="2"/>
  <c r="L780" i="2"/>
  <c r="K780" i="2" a="1"/>
  <c r="K780" i="2" s="1"/>
  <c r="J780" i="2"/>
  <c r="I780" i="2"/>
  <c r="L779" i="2"/>
  <c r="K779" i="2" a="1"/>
  <c r="K779" i="2" s="1"/>
  <c r="J779" i="2"/>
  <c r="I779" i="2"/>
  <c r="L778" i="2"/>
  <c r="K778" i="2" a="1"/>
  <c r="K778" i="2" s="1"/>
  <c r="J778" i="2"/>
  <c r="I778" i="2"/>
  <c r="L777" i="2"/>
  <c r="K777" i="2" a="1"/>
  <c r="K777" i="2" s="1"/>
  <c r="J777" i="2"/>
  <c r="I777" i="2"/>
  <c r="L776" i="2"/>
  <c r="K776" i="2" a="1"/>
  <c r="K776" i="2" s="1"/>
  <c r="J776" i="2"/>
  <c r="I776" i="2"/>
  <c r="L775" i="2"/>
  <c r="K775" i="2" a="1"/>
  <c r="K775" i="2" s="1"/>
  <c r="J775" i="2"/>
  <c r="I775" i="2"/>
  <c r="L774" i="2"/>
  <c r="K774" i="2" a="1"/>
  <c r="K774" i="2" s="1"/>
  <c r="J774" i="2"/>
  <c r="I774" i="2"/>
  <c r="L773" i="2"/>
  <c r="K773" i="2" a="1"/>
  <c r="K773" i="2" s="1"/>
  <c r="J773" i="2"/>
  <c r="I773" i="2"/>
  <c r="L772" i="2"/>
  <c r="K772" i="2" a="1"/>
  <c r="K772" i="2" s="1"/>
  <c r="J772" i="2"/>
  <c r="I772" i="2"/>
  <c r="L771" i="2"/>
  <c r="K771" i="2" a="1"/>
  <c r="K771" i="2" s="1"/>
  <c r="J771" i="2"/>
  <c r="I771" i="2"/>
  <c r="L770" i="2"/>
  <c r="K770" i="2" a="1"/>
  <c r="K770" i="2" s="1"/>
  <c r="J770" i="2"/>
  <c r="I770" i="2"/>
  <c r="L769" i="2"/>
  <c r="K769" i="2" a="1"/>
  <c r="K769" i="2" s="1"/>
  <c r="J769" i="2"/>
  <c r="I769" i="2"/>
  <c r="L768" i="2"/>
  <c r="K768" i="2" a="1"/>
  <c r="K768" i="2" s="1"/>
  <c r="J768" i="2"/>
  <c r="I768" i="2"/>
  <c r="L767" i="2"/>
  <c r="K767" i="2" a="1"/>
  <c r="K767" i="2" s="1"/>
  <c r="J767" i="2"/>
  <c r="I767" i="2"/>
  <c r="L766" i="2"/>
  <c r="K766" i="2" a="1"/>
  <c r="K766" i="2" s="1"/>
  <c r="J766" i="2"/>
  <c r="I766" i="2"/>
  <c r="L765" i="2"/>
  <c r="K765" i="2" a="1"/>
  <c r="K765" i="2" s="1"/>
  <c r="J765" i="2"/>
  <c r="I765" i="2"/>
  <c r="L764" i="2"/>
  <c r="K764" i="2" a="1"/>
  <c r="K764" i="2" s="1"/>
  <c r="J764" i="2"/>
  <c r="I764" i="2"/>
  <c r="L763" i="2"/>
  <c r="K763" i="2" a="1"/>
  <c r="K763" i="2" s="1"/>
  <c r="J763" i="2"/>
  <c r="I763" i="2"/>
  <c r="L762" i="2"/>
  <c r="K762" i="2" a="1"/>
  <c r="K762" i="2" s="1"/>
  <c r="J762" i="2"/>
  <c r="I762" i="2"/>
  <c r="L761" i="2"/>
  <c r="K761" i="2" a="1"/>
  <c r="K761" i="2" s="1"/>
  <c r="J761" i="2"/>
  <c r="I761" i="2"/>
  <c r="L760" i="2"/>
  <c r="K760" i="2" a="1"/>
  <c r="K760" i="2" s="1"/>
  <c r="J760" i="2"/>
  <c r="I760" i="2"/>
  <c r="L759" i="2"/>
  <c r="K759" i="2" a="1"/>
  <c r="K759" i="2" s="1"/>
  <c r="J759" i="2"/>
  <c r="I759" i="2"/>
  <c r="L758" i="2"/>
  <c r="K758" i="2" a="1"/>
  <c r="K758" i="2" s="1"/>
  <c r="J758" i="2"/>
  <c r="I758" i="2"/>
  <c r="L757" i="2"/>
  <c r="K757" i="2" a="1"/>
  <c r="K757" i="2" s="1"/>
  <c r="J757" i="2"/>
  <c r="I757" i="2"/>
  <c r="L756" i="2"/>
  <c r="K756" i="2" a="1"/>
  <c r="K756" i="2" s="1"/>
  <c r="J756" i="2"/>
  <c r="I756" i="2"/>
  <c r="L755" i="2"/>
  <c r="K755" i="2" a="1"/>
  <c r="K755" i="2" s="1"/>
  <c r="J755" i="2"/>
  <c r="I755" i="2"/>
  <c r="L754" i="2"/>
  <c r="K754" i="2" a="1"/>
  <c r="K754" i="2" s="1"/>
  <c r="J754" i="2"/>
  <c r="I754" i="2"/>
  <c r="L753" i="2"/>
  <c r="K753" i="2" a="1"/>
  <c r="K753" i="2" s="1"/>
  <c r="J753" i="2"/>
  <c r="I753" i="2"/>
  <c r="L752" i="2"/>
  <c r="K752" i="2" a="1"/>
  <c r="K752" i="2" s="1"/>
  <c r="J752" i="2"/>
  <c r="I752" i="2"/>
  <c r="L751" i="2"/>
  <c r="K751" i="2" a="1"/>
  <c r="K751" i="2" s="1"/>
  <c r="J751" i="2"/>
  <c r="I751" i="2"/>
  <c r="L750" i="2"/>
  <c r="K750" i="2" a="1"/>
  <c r="K750" i="2" s="1"/>
  <c r="J750" i="2"/>
  <c r="I750" i="2"/>
  <c r="L749" i="2"/>
  <c r="K749" i="2" a="1"/>
  <c r="K749" i="2" s="1"/>
  <c r="J749" i="2"/>
  <c r="I749" i="2"/>
  <c r="L748" i="2"/>
  <c r="K748" i="2" a="1"/>
  <c r="K748" i="2" s="1"/>
  <c r="J748" i="2"/>
  <c r="I748" i="2"/>
  <c r="L747" i="2"/>
  <c r="K747" i="2" a="1"/>
  <c r="K747" i="2" s="1"/>
  <c r="J747" i="2"/>
  <c r="I747" i="2"/>
  <c r="L746" i="2"/>
  <c r="K746" i="2" a="1"/>
  <c r="K746" i="2" s="1"/>
  <c r="J746" i="2"/>
  <c r="I746" i="2"/>
  <c r="L745" i="2"/>
  <c r="K745" i="2" a="1"/>
  <c r="K745" i="2" s="1"/>
  <c r="J745" i="2"/>
  <c r="I745" i="2"/>
  <c r="L744" i="2"/>
  <c r="K744" i="2" a="1"/>
  <c r="K744" i="2" s="1"/>
  <c r="J744" i="2"/>
  <c r="I744" i="2"/>
  <c r="L743" i="2"/>
  <c r="K743" i="2" a="1"/>
  <c r="K743" i="2" s="1"/>
  <c r="J743" i="2"/>
  <c r="I743" i="2"/>
  <c r="L742" i="2"/>
  <c r="K742" i="2" a="1"/>
  <c r="K742" i="2" s="1"/>
  <c r="J742" i="2"/>
  <c r="I742" i="2"/>
  <c r="L741" i="2"/>
  <c r="K741" i="2" a="1"/>
  <c r="K741" i="2" s="1"/>
  <c r="J741" i="2"/>
  <c r="I741" i="2"/>
  <c r="L740" i="2"/>
  <c r="K740" i="2" a="1"/>
  <c r="K740" i="2" s="1"/>
  <c r="J740" i="2"/>
  <c r="I740" i="2"/>
  <c r="L739" i="2"/>
  <c r="K739" i="2" a="1"/>
  <c r="K739" i="2" s="1"/>
  <c r="J739" i="2"/>
  <c r="I739" i="2"/>
  <c r="L738" i="2"/>
  <c r="K738" i="2" a="1"/>
  <c r="K738" i="2" s="1"/>
  <c r="J738" i="2"/>
  <c r="I738" i="2"/>
  <c r="L737" i="2"/>
  <c r="K737" i="2" a="1"/>
  <c r="K737" i="2" s="1"/>
  <c r="J737" i="2"/>
  <c r="I737" i="2"/>
  <c r="L736" i="2"/>
  <c r="K736" i="2" a="1"/>
  <c r="K736" i="2" s="1"/>
  <c r="J736" i="2"/>
  <c r="I736" i="2"/>
  <c r="L735" i="2"/>
  <c r="K735" i="2" a="1"/>
  <c r="K735" i="2" s="1"/>
  <c r="J735" i="2"/>
  <c r="I735" i="2"/>
  <c r="L734" i="2"/>
  <c r="K734" i="2" a="1"/>
  <c r="K734" i="2" s="1"/>
  <c r="J734" i="2"/>
  <c r="I734" i="2"/>
  <c r="L733" i="2"/>
  <c r="K733" i="2" a="1"/>
  <c r="K733" i="2" s="1"/>
  <c r="J733" i="2"/>
  <c r="I733" i="2"/>
  <c r="L732" i="2"/>
  <c r="K732" i="2" a="1"/>
  <c r="K732" i="2" s="1"/>
  <c r="J732" i="2"/>
  <c r="I732" i="2"/>
  <c r="L731" i="2"/>
  <c r="K731" i="2" a="1"/>
  <c r="K731" i="2" s="1"/>
  <c r="J731" i="2"/>
  <c r="I731" i="2"/>
  <c r="L730" i="2"/>
  <c r="K730" i="2" a="1"/>
  <c r="K730" i="2" s="1"/>
  <c r="J730" i="2"/>
  <c r="I730" i="2"/>
  <c r="L729" i="2"/>
  <c r="K729" i="2" a="1"/>
  <c r="K729" i="2" s="1"/>
  <c r="J729" i="2"/>
  <c r="I729" i="2"/>
  <c r="L728" i="2"/>
  <c r="K728" i="2" a="1"/>
  <c r="K728" i="2" s="1"/>
  <c r="J728" i="2"/>
  <c r="I728" i="2"/>
  <c r="L727" i="2"/>
  <c r="K727" i="2" a="1"/>
  <c r="K727" i="2" s="1"/>
  <c r="J727" i="2"/>
  <c r="I727" i="2"/>
  <c r="L726" i="2"/>
  <c r="K726" i="2" a="1"/>
  <c r="K726" i="2" s="1"/>
  <c r="J726" i="2"/>
  <c r="I726" i="2"/>
  <c r="L725" i="2"/>
  <c r="K725" i="2" a="1"/>
  <c r="K725" i="2" s="1"/>
  <c r="J725" i="2"/>
  <c r="I725" i="2"/>
  <c r="L724" i="2"/>
  <c r="K724" i="2" a="1"/>
  <c r="K724" i="2" s="1"/>
  <c r="J724" i="2"/>
  <c r="I724" i="2"/>
  <c r="L723" i="2"/>
  <c r="K723" i="2" a="1"/>
  <c r="K723" i="2" s="1"/>
  <c r="J723" i="2"/>
  <c r="I723" i="2"/>
  <c r="L722" i="2"/>
  <c r="K722" i="2" a="1"/>
  <c r="K722" i="2" s="1"/>
  <c r="J722" i="2"/>
  <c r="I722" i="2"/>
  <c r="L721" i="2"/>
  <c r="K721" i="2" a="1"/>
  <c r="K721" i="2" s="1"/>
  <c r="J721" i="2"/>
  <c r="I721" i="2"/>
  <c r="L720" i="2"/>
  <c r="K720" i="2" a="1"/>
  <c r="K720" i="2" s="1"/>
  <c r="J720" i="2"/>
  <c r="I720" i="2"/>
  <c r="L719" i="2"/>
  <c r="K719" i="2" a="1"/>
  <c r="K719" i="2" s="1"/>
  <c r="J719" i="2"/>
  <c r="I719" i="2"/>
  <c r="L718" i="2"/>
  <c r="K718" i="2" a="1"/>
  <c r="K718" i="2" s="1"/>
  <c r="J718" i="2"/>
  <c r="I718" i="2"/>
  <c r="L717" i="2"/>
  <c r="K717" i="2" a="1"/>
  <c r="K717" i="2" s="1"/>
  <c r="J717" i="2"/>
  <c r="I717" i="2"/>
  <c r="L716" i="2"/>
  <c r="K716" i="2" a="1"/>
  <c r="K716" i="2" s="1"/>
  <c r="J716" i="2"/>
  <c r="I716" i="2"/>
  <c r="L715" i="2"/>
  <c r="K715" i="2" a="1"/>
  <c r="K715" i="2" s="1"/>
  <c r="J715" i="2"/>
  <c r="I715" i="2"/>
  <c r="L714" i="2"/>
  <c r="K714" i="2" a="1"/>
  <c r="K714" i="2" s="1"/>
  <c r="J714" i="2"/>
  <c r="I714" i="2"/>
  <c r="L713" i="2"/>
  <c r="K713" i="2" a="1"/>
  <c r="K713" i="2" s="1"/>
  <c r="J713" i="2"/>
  <c r="I713" i="2"/>
  <c r="L712" i="2"/>
  <c r="K712" i="2" a="1"/>
  <c r="K712" i="2" s="1"/>
  <c r="J712" i="2"/>
  <c r="I712" i="2"/>
  <c r="L711" i="2"/>
  <c r="K711" i="2" a="1"/>
  <c r="K711" i="2" s="1"/>
  <c r="J711" i="2"/>
  <c r="I711" i="2"/>
  <c r="L710" i="2"/>
  <c r="K710" i="2" a="1"/>
  <c r="K710" i="2" s="1"/>
  <c r="J710" i="2"/>
  <c r="I710" i="2"/>
  <c r="L709" i="2"/>
  <c r="K709" i="2" a="1"/>
  <c r="K709" i="2" s="1"/>
  <c r="J709" i="2"/>
  <c r="I709" i="2"/>
  <c r="L708" i="2"/>
  <c r="K708" i="2" a="1"/>
  <c r="K708" i="2" s="1"/>
  <c r="J708" i="2"/>
  <c r="I708" i="2"/>
  <c r="L707" i="2"/>
  <c r="K707" i="2" a="1"/>
  <c r="K707" i="2" s="1"/>
  <c r="J707" i="2"/>
  <c r="I707" i="2"/>
  <c r="L706" i="2"/>
  <c r="K706" i="2" a="1"/>
  <c r="K706" i="2" s="1"/>
  <c r="J706" i="2"/>
  <c r="I706" i="2"/>
  <c r="L705" i="2"/>
  <c r="K705" i="2" a="1"/>
  <c r="K705" i="2" s="1"/>
  <c r="J705" i="2"/>
  <c r="I705" i="2"/>
  <c r="L704" i="2"/>
  <c r="K704" i="2" a="1"/>
  <c r="K704" i="2" s="1"/>
  <c r="J704" i="2"/>
  <c r="I704" i="2"/>
  <c r="L703" i="2"/>
  <c r="K703" i="2" a="1"/>
  <c r="K703" i="2" s="1"/>
  <c r="J703" i="2"/>
  <c r="I703" i="2"/>
  <c r="L702" i="2"/>
  <c r="K702" i="2" a="1"/>
  <c r="K702" i="2" s="1"/>
  <c r="J702" i="2"/>
  <c r="I702" i="2"/>
  <c r="L701" i="2"/>
  <c r="K701" i="2" a="1"/>
  <c r="K701" i="2" s="1"/>
  <c r="J701" i="2"/>
  <c r="I701" i="2"/>
  <c r="L700" i="2"/>
  <c r="K700" i="2" a="1"/>
  <c r="K700" i="2" s="1"/>
  <c r="J700" i="2"/>
  <c r="I700" i="2"/>
  <c r="L699" i="2"/>
  <c r="K699" i="2" a="1"/>
  <c r="K699" i="2" s="1"/>
  <c r="J699" i="2"/>
  <c r="I699" i="2"/>
  <c r="L698" i="2"/>
  <c r="K698" i="2" a="1"/>
  <c r="K698" i="2" s="1"/>
  <c r="J698" i="2"/>
  <c r="I698" i="2"/>
  <c r="L697" i="2"/>
  <c r="K697" i="2" a="1"/>
  <c r="K697" i="2" s="1"/>
  <c r="J697" i="2"/>
  <c r="I697" i="2"/>
  <c r="L696" i="2"/>
  <c r="K696" i="2" a="1"/>
  <c r="K696" i="2" s="1"/>
  <c r="J696" i="2"/>
  <c r="I696" i="2"/>
  <c r="L695" i="2"/>
  <c r="K695" i="2" a="1"/>
  <c r="K695" i="2" s="1"/>
  <c r="J695" i="2"/>
  <c r="I695" i="2"/>
  <c r="L694" i="2"/>
  <c r="K694" i="2" a="1"/>
  <c r="K694" i="2" s="1"/>
  <c r="J694" i="2"/>
  <c r="I694" i="2"/>
  <c r="L693" i="2"/>
  <c r="K693" i="2" a="1"/>
  <c r="K693" i="2" s="1"/>
  <c r="J693" i="2"/>
  <c r="I693" i="2"/>
  <c r="L692" i="2"/>
  <c r="K692" i="2" a="1"/>
  <c r="K692" i="2" s="1"/>
  <c r="J692" i="2"/>
  <c r="I692" i="2"/>
  <c r="L691" i="2"/>
  <c r="K691" i="2" a="1"/>
  <c r="K691" i="2" s="1"/>
  <c r="J691" i="2"/>
  <c r="I691" i="2"/>
  <c r="L690" i="2"/>
  <c r="K690" i="2" a="1"/>
  <c r="K690" i="2" s="1"/>
  <c r="J690" i="2"/>
  <c r="I690" i="2"/>
  <c r="L689" i="2"/>
  <c r="K689" i="2" a="1"/>
  <c r="K689" i="2" s="1"/>
  <c r="J689" i="2"/>
  <c r="I689" i="2"/>
  <c r="L688" i="2"/>
  <c r="K688" i="2" a="1"/>
  <c r="K688" i="2" s="1"/>
  <c r="J688" i="2"/>
  <c r="I688" i="2"/>
  <c r="L687" i="2"/>
  <c r="K687" i="2" a="1"/>
  <c r="K687" i="2" s="1"/>
  <c r="J687" i="2"/>
  <c r="I687" i="2"/>
  <c r="L686" i="2"/>
  <c r="K686" i="2" a="1"/>
  <c r="K686" i="2" s="1"/>
  <c r="J686" i="2"/>
  <c r="I686" i="2"/>
  <c r="L685" i="2"/>
  <c r="K685" i="2" a="1"/>
  <c r="K685" i="2" s="1"/>
  <c r="J685" i="2"/>
  <c r="I685" i="2"/>
  <c r="L684" i="2"/>
  <c r="K684" i="2" a="1"/>
  <c r="K684" i="2" s="1"/>
  <c r="J684" i="2"/>
  <c r="I684" i="2"/>
  <c r="L683" i="2"/>
  <c r="K683" i="2" a="1"/>
  <c r="K683" i="2" s="1"/>
  <c r="J683" i="2"/>
  <c r="I683" i="2"/>
  <c r="L682" i="2"/>
  <c r="K682" i="2" a="1"/>
  <c r="K682" i="2" s="1"/>
  <c r="J682" i="2"/>
  <c r="I682" i="2"/>
  <c r="L681" i="2"/>
  <c r="K681" i="2" a="1"/>
  <c r="K681" i="2" s="1"/>
  <c r="J681" i="2"/>
  <c r="I681" i="2"/>
  <c r="L680" i="2"/>
  <c r="K680" i="2" a="1"/>
  <c r="K680" i="2" s="1"/>
  <c r="J680" i="2"/>
  <c r="I680" i="2"/>
  <c r="L679" i="2"/>
  <c r="K679" i="2" a="1"/>
  <c r="K679" i="2" s="1"/>
  <c r="J679" i="2"/>
  <c r="I679" i="2"/>
  <c r="L678" i="2"/>
  <c r="K678" i="2" a="1"/>
  <c r="K678" i="2" s="1"/>
  <c r="J678" i="2"/>
  <c r="I678" i="2"/>
  <c r="L677" i="2"/>
  <c r="K677" i="2" a="1"/>
  <c r="K677" i="2" s="1"/>
  <c r="J677" i="2"/>
  <c r="I677" i="2"/>
  <c r="L676" i="2"/>
  <c r="K676" i="2" a="1"/>
  <c r="K676" i="2" s="1"/>
  <c r="J676" i="2"/>
  <c r="I676" i="2"/>
  <c r="L675" i="2"/>
  <c r="K675" i="2" a="1"/>
  <c r="K675" i="2" s="1"/>
  <c r="J675" i="2"/>
  <c r="I675" i="2"/>
  <c r="L674" i="2"/>
  <c r="K674" i="2" a="1"/>
  <c r="K674" i="2" s="1"/>
  <c r="J674" i="2"/>
  <c r="I674" i="2"/>
  <c r="L673" i="2"/>
  <c r="K673" i="2" a="1"/>
  <c r="K673" i="2" s="1"/>
  <c r="J673" i="2"/>
  <c r="I673" i="2"/>
  <c r="L672" i="2"/>
  <c r="K672" i="2" a="1"/>
  <c r="K672" i="2" s="1"/>
  <c r="J672" i="2"/>
  <c r="I672" i="2"/>
  <c r="L671" i="2"/>
  <c r="K671" i="2" a="1"/>
  <c r="K671" i="2" s="1"/>
  <c r="J671" i="2"/>
  <c r="I671" i="2"/>
  <c r="L670" i="2"/>
  <c r="K670" i="2" a="1"/>
  <c r="K670" i="2" s="1"/>
  <c r="J670" i="2"/>
  <c r="I670" i="2"/>
  <c r="L669" i="2"/>
  <c r="K669" i="2" a="1"/>
  <c r="K669" i="2" s="1"/>
  <c r="J669" i="2"/>
  <c r="I669" i="2"/>
  <c r="L668" i="2"/>
  <c r="K668" i="2" a="1"/>
  <c r="K668" i="2" s="1"/>
  <c r="J668" i="2"/>
  <c r="I668" i="2"/>
  <c r="L667" i="2"/>
  <c r="K667" i="2" a="1"/>
  <c r="K667" i="2" s="1"/>
  <c r="J667" i="2"/>
  <c r="I667" i="2"/>
  <c r="L666" i="2"/>
  <c r="K666" i="2" a="1"/>
  <c r="K666" i="2" s="1"/>
  <c r="J666" i="2"/>
  <c r="I666" i="2"/>
  <c r="L665" i="2"/>
  <c r="K665" i="2" a="1"/>
  <c r="K665" i="2" s="1"/>
  <c r="J665" i="2"/>
  <c r="I665" i="2"/>
  <c r="L664" i="2"/>
  <c r="K664" i="2" a="1"/>
  <c r="K664" i="2" s="1"/>
  <c r="J664" i="2"/>
  <c r="I664" i="2"/>
  <c r="L663" i="2"/>
  <c r="K663" i="2" a="1"/>
  <c r="K663" i="2" s="1"/>
  <c r="J663" i="2"/>
  <c r="I663" i="2"/>
  <c r="L662" i="2"/>
  <c r="K662" i="2" a="1"/>
  <c r="K662" i="2" s="1"/>
  <c r="J662" i="2"/>
  <c r="I662" i="2"/>
  <c r="L661" i="2"/>
  <c r="K661" i="2" a="1"/>
  <c r="K661" i="2" s="1"/>
  <c r="J661" i="2"/>
  <c r="I661" i="2"/>
  <c r="L660" i="2"/>
  <c r="K660" i="2" a="1"/>
  <c r="K660" i="2" s="1"/>
  <c r="J660" i="2"/>
  <c r="I660" i="2"/>
  <c r="L659" i="2"/>
  <c r="K659" i="2" a="1"/>
  <c r="K659" i="2" s="1"/>
  <c r="J659" i="2"/>
  <c r="I659" i="2"/>
  <c r="L658" i="2"/>
  <c r="K658" i="2" a="1"/>
  <c r="K658" i="2" s="1"/>
  <c r="J658" i="2"/>
  <c r="I658" i="2"/>
  <c r="L657" i="2"/>
  <c r="K657" i="2" a="1"/>
  <c r="K657" i="2" s="1"/>
  <c r="J657" i="2"/>
  <c r="I657" i="2"/>
  <c r="L656" i="2"/>
  <c r="K656" i="2" a="1"/>
  <c r="K656" i="2" s="1"/>
  <c r="J656" i="2"/>
  <c r="I656" i="2"/>
  <c r="L655" i="2"/>
  <c r="K655" i="2" a="1"/>
  <c r="K655" i="2" s="1"/>
  <c r="J655" i="2"/>
  <c r="I655" i="2"/>
  <c r="L654" i="2"/>
  <c r="K654" i="2" a="1"/>
  <c r="K654" i="2" s="1"/>
  <c r="J654" i="2"/>
  <c r="I654" i="2"/>
  <c r="L653" i="2"/>
  <c r="K653" i="2" a="1"/>
  <c r="K653" i="2" s="1"/>
  <c r="J653" i="2"/>
  <c r="I653" i="2"/>
  <c r="L652" i="2"/>
  <c r="K652" i="2" a="1"/>
  <c r="K652" i="2" s="1"/>
  <c r="J652" i="2"/>
  <c r="I652" i="2"/>
  <c r="L651" i="2"/>
  <c r="K651" i="2" a="1"/>
  <c r="K651" i="2" s="1"/>
  <c r="J651" i="2"/>
  <c r="I651" i="2"/>
  <c r="L650" i="2"/>
  <c r="K650" i="2" a="1"/>
  <c r="K650" i="2" s="1"/>
  <c r="J650" i="2"/>
  <c r="I650" i="2"/>
  <c r="L649" i="2"/>
  <c r="K649" i="2" a="1"/>
  <c r="K649" i="2" s="1"/>
  <c r="J649" i="2"/>
  <c r="I649" i="2"/>
  <c r="L648" i="2"/>
  <c r="K648" i="2" a="1"/>
  <c r="K648" i="2" s="1"/>
  <c r="J648" i="2"/>
  <c r="I648" i="2"/>
  <c r="L647" i="2"/>
  <c r="K647" i="2" a="1"/>
  <c r="K647" i="2" s="1"/>
  <c r="J647" i="2"/>
  <c r="I647" i="2"/>
  <c r="L646" i="2"/>
  <c r="K646" i="2" a="1"/>
  <c r="K646" i="2" s="1"/>
  <c r="J646" i="2"/>
  <c r="I646" i="2"/>
  <c r="L645" i="2"/>
  <c r="K645" i="2" a="1"/>
  <c r="K645" i="2" s="1"/>
  <c r="J645" i="2"/>
  <c r="I645" i="2"/>
  <c r="L644" i="2"/>
  <c r="K644" i="2" a="1"/>
  <c r="K644" i="2" s="1"/>
  <c r="J644" i="2"/>
  <c r="I644" i="2"/>
  <c r="L643" i="2"/>
  <c r="K643" i="2" a="1"/>
  <c r="K643" i="2" s="1"/>
  <c r="J643" i="2"/>
  <c r="I643" i="2"/>
  <c r="L642" i="2"/>
  <c r="K642" i="2" a="1"/>
  <c r="K642" i="2" s="1"/>
  <c r="J642" i="2"/>
  <c r="I642" i="2"/>
  <c r="L641" i="2"/>
  <c r="K641" i="2" a="1"/>
  <c r="K641" i="2" s="1"/>
  <c r="J641" i="2"/>
  <c r="I641" i="2"/>
  <c r="L640" i="2"/>
  <c r="K640" i="2" a="1"/>
  <c r="K640" i="2" s="1"/>
  <c r="J640" i="2"/>
  <c r="I640" i="2"/>
  <c r="L639" i="2"/>
  <c r="K639" i="2" a="1"/>
  <c r="K639" i="2" s="1"/>
  <c r="J639" i="2"/>
  <c r="I639" i="2"/>
  <c r="L638" i="2"/>
  <c r="K638" i="2" a="1"/>
  <c r="K638" i="2" s="1"/>
  <c r="J638" i="2"/>
  <c r="I638" i="2"/>
  <c r="L637" i="2"/>
  <c r="K637" i="2" a="1"/>
  <c r="K637" i="2" s="1"/>
  <c r="J637" i="2"/>
  <c r="I637" i="2"/>
  <c r="L636" i="2"/>
  <c r="K636" i="2" a="1"/>
  <c r="K636" i="2" s="1"/>
  <c r="J636" i="2"/>
  <c r="I636" i="2"/>
  <c r="L635" i="2"/>
  <c r="K635" i="2" a="1"/>
  <c r="K635" i="2" s="1"/>
  <c r="J635" i="2"/>
  <c r="I635" i="2"/>
  <c r="L634" i="2"/>
  <c r="K634" i="2" a="1"/>
  <c r="K634" i="2" s="1"/>
  <c r="J634" i="2"/>
  <c r="I634" i="2"/>
  <c r="L633" i="2"/>
  <c r="K633" i="2" a="1"/>
  <c r="K633" i="2" s="1"/>
  <c r="J633" i="2"/>
  <c r="I633" i="2"/>
  <c r="L632" i="2"/>
  <c r="K632" i="2" a="1"/>
  <c r="K632" i="2" s="1"/>
  <c r="J632" i="2"/>
  <c r="I632" i="2"/>
  <c r="L631" i="2"/>
  <c r="K631" i="2" a="1"/>
  <c r="K631" i="2" s="1"/>
  <c r="J631" i="2"/>
  <c r="I631" i="2"/>
  <c r="L630" i="2"/>
  <c r="K630" i="2" a="1"/>
  <c r="K630" i="2" s="1"/>
  <c r="J630" i="2"/>
  <c r="I630" i="2"/>
  <c r="L629" i="2"/>
  <c r="K629" i="2" a="1"/>
  <c r="K629" i="2" s="1"/>
  <c r="J629" i="2"/>
  <c r="I629" i="2"/>
  <c r="L628" i="2"/>
  <c r="K628" i="2" a="1"/>
  <c r="K628" i="2" s="1"/>
  <c r="J628" i="2"/>
  <c r="I628" i="2"/>
  <c r="L627" i="2"/>
  <c r="K627" i="2" a="1"/>
  <c r="K627" i="2" s="1"/>
  <c r="J627" i="2"/>
  <c r="I627" i="2"/>
  <c r="L626" i="2"/>
  <c r="K626" i="2" a="1"/>
  <c r="K626" i="2" s="1"/>
  <c r="J626" i="2"/>
  <c r="I626" i="2"/>
  <c r="L625" i="2"/>
  <c r="K625" i="2" a="1"/>
  <c r="K625" i="2" s="1"/>
  <c r="J625" i="2"/>
  <c r="I625" i="2"/>
  <c r="L624" i="2"/>
  <c r="K624" i="2" a="1"/>
  <c r="K624" i="2" s="1"/>
  <c r="J624" i="2"/>
  <c r="I624" i="2"/>
  <c r="L623" i="2"/>
  <c r="K623" i="2" a="1"/>
  <c r="K623" i="2" s="1"/>
  <c r="J623" i="2"/>
  <c r="I623" i="2"/>
  <c r="L622" i="2"/>
  <c r="K622" i="2" a="1"/>
  <c r="K622" i="2" s="1"/>
  <c r="J622" i="2"/>
  <c r="I622" i="2"/>
  <c r="L621" i="2"/>
  <c r="K621" i="2" a="1"/>
  <c r="K621" i="2" s="1"/>
  <c r="J621" i="2"/>
  <c r="I621" i="2"/>
  <c r="L620" i="2"/>
  <c r="K620" i="2" a="1"/>
  <c r="K620" i="2" s="1"/>
  <c r="J620" i="2"/>
  <c r="I620" i="2"/>
  <c r="L619" i="2"/>
  <c r="K619" i="2" a="1"/>
  <c r="K619" i="2" s="1"/>
  <c r="J619" i="2"/>
  <c r="I619" i="2"/>
  <c r="L618" i="2"/>
  <c r="K618" i="2" a="1"/>
  <c r="K618" i="2" s="1"/>
  <c r="J618" i="2"/>
  <c r="I618" i="2"/>
  <c r="L617" i="2"/>
  <c r="K617" i="2" a="1"/>
  <c r="K617" i="2" s="1"/>
  <c r="J617" i="2"/>
  <c r="I617" i="2"/>
  <c r="L616" i="2"/>
  <c r="K616" i="2" a="1"/>
  <c r="K616" i="2" s="1"/>
  <c r="J616" i="2"/>
  <c r="I616" i="2"/>
  <c r="L615" i="2"/>
  <c r="K615" i="2" a="1"/>
  <c r="K615" i="2" s="1"/>
  <c r="J615" i="2"/>
  <c r="I615" i="2"/>
  <c r="L614" i="2"/>
  <c r="K614" i="2" a="1"/>
  <c r="K614" i="2" s="1"/>
  <c r="J614" i="2"/>
  <c r="I614" i="2"/>
  <c r="L613" i="2"/>
  <c r="K613" i="2" a="1"/>
  <c r="K613" i="2" s="1"/>
  <c r="J613" i="2"/>
  <c r="I613" i="2"/>
  <c r="L612" i="2"/>
  <c r="K612" i="2" a="1"/>
  <c r="K612" i="2" s="1"/>
  <c r="J612" i="2"/>
  <c r="I612" i="2"/>
  <c r="L611" i="2"/>
  <c r="K611" i="2" a="1"/>
  <c r="K611" i="2" s="1"/>
  <c r="J611" i="2"/>
  <c r="I611" i="2"/>
  <c r="L610" i="2"/>
  <c r="K610" i="2" a="1"/>
  <c r="K610" i="2" s="1"/>
  <c r="J610" i="2"/>
  <c r="I610" i="2"/>
  <c r="L609" i="2"/>
  <c r="K609" i="2" a="1"/>
  <c r="K609" i="2" s="1"/>
  <c r="J609" i="2"/>
  <c r="I609" i="2"/>
  <c r="L608" i="2"/>
  <c r="K608" i="2" a="1"/>
  <c r="K608" i="2" s="1"/>
  <c r="J608" i="2"/>
  <c r="I608" i="2"/>
  <c r="L607" i="2"/>
  <c r="K607" i="2" a="1"/>
  <c r="K607" i="2" s="1"/>
  <c r="J607" i="2"/>
  <c r="I607" i="2"/>
  <c r="L606" i="2"/>
  <c r="K606" i="2" a="1"/>
  <c r="K606" i="2" s="1"/>
  <c r="J606" i="2"/>
  <c r="I606" i="2"/>
  <c r="L605" i="2"/>
  <c r="K605" i="2" a="1"/>
  <c r="K605" i="2" s="1"/>
  <c r="J605" i="2"/>
  <c r="I605" i="2"/>
  <c r="L604" i="2"/>
  <c r="K604" i="2" a="1"/>
  <c r="K604" i="2" s="1"/>
  <c r="J604" i="2"/>
  <c r="I604" i="2"/>
  <c r="L603" i="2"/>
  <c r="K603" i="2" a="1"/>
  <c r="K603" i="2" s="1"/>
  <c r="J603" i="2"/>
  <c r="I603" i="2"/>
  <c r="L602" i="2"/>
  <c r="K602" i="2" a="1"/>
  <c r="K602" i="2" s="1"/>
  <c r="J602" i="2"/>
  <c r="I602" i="2"/>
  <c r="L601" i="2"/>
  <c r="K601" i="2" a="1"/>
  <c r="K601" i="2" s="1"/>
  <c r="J601" i="2"/>
  <c r="I601" i="2"/>
  <c r="L600" i="2"/>
  <c r="K600" i="2" a="1"/>
  <c r="K600" i="2" s="1"/>
  <c r="J600" i="2"/>
  <c r="I600" i="2"/>
  <c r="L599" i="2"/>
  <c r="K599" i="2" a="1"/>
  <c r="K599" i="2" s="1"/>
  <c r="J599" i="2"/>
  <c r="I599" i="2"/>
  <c r="L598" i="2"/>
  <c r="K598" i="2" a="1"/>
  <c r="K598" i="2" s="1"/>
  <c r="J598" i="2"/>
  <c r="I598" i="2"/>
  <c r="L597" i="2"/>
  <c r="K597" i="2" a="1"/>
  <c r="K597" i="2" s="1"/>
  <c r="J597" i="2"/>
  <c r="I597" i="2"/>
  <c r="L596" i="2"/>
  <c r="K596" i="2" a="1"/>
  <c r="K596" i="2" s="1"/>
  <c r="J596" i="2"/>
  <c r="I596" i="2"/>
  <c r="L595" i="2"/>
  <c r="K595" i="2" a="1"/>
  <c r="K595" i="2" s="1"/>
  <c r="J595" i="2"/>
  <c r="I595" i="2"/>
  <c r="L594" i="2"/>
  <c r="K594" i="2" a="1"/>
  <c r="K594" i="2" s="1"/>
  <c r="J594" i="2"/>
  <c r="I594" i="2"/>
  <c r="L593" i="2"/>
  <c r="K593" i="2" a="1"/>
  <c r="K593" i="2" s="1"/>
  <c r="J593" i="2"/>
  <c r="I593" i="2"/>
  <c r="L592" i="2"/>
  <c r="K592" i="2" a="1"/>
  <c r="K592" i="2" s="1"/>
  <c r="J592" i="2"/>
  <c r="I592" i="2"/>
  <c r="L591" i="2"/>
  <c r="K591" i="2" a="1"/>
  <c r="K591" i="2" s="1"/>
  <c r="J591" i="2"/>
  <c r="I591" i="2"/>
  <c r="L590" i="2"/>
  <c r="K590" i="2" a="1"/>
  <c r="K590" i="2" s="1"/>
  <c r="J590" i="2"/>
  <c r="I590" i="2"/>
  <c r="L589" i="2"/>
  <c r="K589" i="2" a="1"/>
  <c r="K589" i="2" s="1"/>
  <c r="J589" i="2"/>
  <c r="I589" i="2"/>
  <c r="L588" i="2"/>
  <c r="K588" i="2" a="1"/>
  <c r="K588" i="2" s="1"/>
  <c r="J588" i="2"/>
  <c r="I588" i="2"/>
  <c r="L587" i="2"/>
  <c r="K587" i="2" a="1"/>
  <c r="K587" i="2" s="1"/>
  <c r="J587" i="2"/>
  <c r="I587" i="2"/>
  <c r="L586" i="2"/>
  <c r="K586" i="2" a="1"/>
  <c r="K586" i="2" s="1"/>
  <c r="J586" i="2"/>
  <c r="I586" i="2"/>
  <c r="L585" i="2"/>
  <c r="K585" i="2" a="1"/>
  <c r="K585" i="2" s="1"/>
  <c r="J585" i="2"/>
  <c r="I585" i="2"/>
  <c r="L584" i="2"/>
  <c r="K584" i="2" a="1"/>
  <c r="K584" i="2" s="1"/>
  <c r="J584" i="2"/>
  <c r="I584" i="2"/>
  <c r="L583" i="2"/>
  <c r="K583" i="2" a="1"/>
  <c r="K583" i="2" s="1"/>
  <c r="J583" i="2"/>
  <c r="I583" i="2"/>
  <c r="L582" i="2"/>
  <c r="K582" i="2" a="1"/>
  <c r="K582" i="2" s="1"/>
  <c r="J582" i="2"/>
  <c r="I582" i="2"/>
  <c r="L581" i="2"/>
  <c r="K581" i="2" a="1"/>
  <c r="K581" i="2" s="1"/>
  <c r="J581" i="2"/>
  <c r="I581" i="2"/>
  <c r="L580" i="2"/>
  <c r="K580" i="2" a="1"/>
  <c r="K580" i="2" s="1"/>
  <c r="J580" i="2"/>
  <c r="I580" i="2"/>
  <c r="L579" i="2"/>
  <c r="K579" i="2" a="1"/>
  <c r="K579" i="2" s="1"/>
  <c r="J579" i="2"/>
  <c r="I579" i="2"/>
  <c r="L578" i="2"/>
  <c r="K578" i="2" a="1"/>
  <c r="K578" i="2" s="1"/>
  <c r="J578" i="2"/>
  <c r="I578" i="2"/>
  <c r="L577" i="2"/>
  <c r="K577" i="2" a="1"/>
  <c r="K577" i="2" s="1"/>
  <c r="J577" i="2"/>
  <c r="I577" i="2"/>
  <c r="L576" i="2"/>
  <c r="K576" i="2" a="1"/>
  <c r="K576" i="2" s="1"/>
  <c r="J576" i="2"/>
  <c r="I576" i="2"/>
  <c r="L575" i="2"/>
  <c r="K575" i="2" a="1"/>
  <c r="K575" i="2" s="1"/>
  <c r="J575" i="2"/>
  <c r="I575" i="2"/>
  <c r="L574" i="2"/>
  <c r="K574" i="2" a="1"/>
  <c r="K574" i="2" s="1"/>
  <c r="J574" i="2"/>
  <c r="I574" i="2"/>
  <c r="L573" i="2"/>
  <c r="K573" i="2" a="1"/>
  <c r="K573" i="2" s="1"/>
  <c r="J573" i="2"/>
  <c r="I573" i="2"/>
  <c r="L572" i="2"/>
  <c r="K572" i="2" a="1"/>
  <c r="K572" i="2" s="1"/>
  <c r="J572" i="2"/>
  <c r="I572" i="2"/>
  <c r="L571" i="2"/>
  <c r="K571" i="2" a="1"/>
  <c r="K571" i="2" s="1"/>
  <c r="J571" i="2"/>
  <c r="I571" i="2"/>
  <c r="L570" i="2"/>
  <c r="K570" i="2" a="1"/>
  <c r="K570" i="2" s="1"/>
  <c r="J570" i="2"/>
  <c r="I570" i="2"/>
  <c r="L569" i="2"/>
  <c r="K569" i="2" a="1"/>
  <c r="K569" i="2" s="1"/>
  <c r="J569" i="2"/>
  <c r="I569" i="2"/>
  <c r="L568" i="2"/>
  <c r="K568" i="2" a="1"/>
  <c r="K568" i="2" s="1"/>
  <c r="J568" i="2"/>
  <c r="I568" i="2"/>
  <c r="L567" i="2"/>
  <c r="K567" i="2" a="1"/>
  <c r="K567" i="2" s="1"/>
  <c r="J567" i="2"/>
  <c r="I567" i="2"/>
  <c r="L566" i="2"/>
  <c r="K566" i="2" a="1"/>
  <c r="K566" i="2" s="1"/>
  <c r="J566" i="2"/>
  <c r="I566" i="2"/>
  <c r="L565" i="2"/>
  <c r="K565" i="2" a="1"/>
  <c r="K565" i="2" s="1"/>
  <c r="J565" i="2"/>
  <c r="I565" i="2"/>
  <c r="L564" i="2"/>
  <c r="K564" i="2" a="1"/>
  <c r="K564" i="2" s="1"/>
  <c r="J564" i="2"/>
  <c r="I564" i="2"/>
  <c r="L563" i="2"/>
  <c r="K563" i="2" a="1"/>
  <c r="K563" i="2" s="1"/>
  <c r="J563" i="2"/>
  <c r="I563" i="2"/>
  <c r="L562" i="2"/>
  <c r="K562" i="2" a="1"/>
  <c r="K562" i="2" s="1"/>
  <c r="J562" i="2"/>
  <c r="I562" i="2"/>
  <c r="L561" i="2"/>
  <c r="K561" i="2" a="1"/>
  <c r="K561" i="2" s="1"/>
  <c r="J561" i="2"/>
  <c r="I561" i="2"/>
  <c r="L560" i="2"/>
  <c r="K560" i="2" a="1"/>
  <c r="K560" i="2" s="1"/>
  <c r="J560" i="2"/>
  <c r="I560" i="2"/>
  <c r="L559" i="2"/>
  <c r="K559" i="2" a="1"/>
  <c r="K559" i="2" s="1"/>
  <c r="J559" i="2"/>
  <c r="I559" i="2"/>
  <c r="L558" i="2"/>
  <c r="K558" i="2" a="1"/>
  <c r="K558" i="2" s="1"/>
  <c r="J558" i="2"/>
  <c r="I558" i="2"/>
  <c r="L557" i="2"/>
  <c r="K557" i="2" a="1"/>
  <c r="K557" i="2" s="1"/>
  <c r="J557" i="2"/>
  <c r="I557" i="2"/>
  <c r="L556" i="2"/>
  <c r="K556" i="2" a="1"/>
  <c r="K556" i="2" s="1"/>
  <c r="J556" i="2"/>
  <c r="I556" i="2"/>
  <c r="L555" i="2"/>
  <c r="K555" i="2" a="1"/>
  <c r="K555" i="2" s="1"/>
  <c r="J555" i="2"/>
  <c r="I555" i="2"/>
  <c r="L554" i="2"/>
  <c r="K554" i="2" a="1"/>
  <c r="K554" i="2" s="1"/>
  <c r="J554" i="2"/>
  <c r="I554" i="2"/>
  <c r="L553" i="2"/>
  <c r="K553" i="2" a="1"/>
  <c r="K553" i="2" s="1"/>
  <c r="J553" i="2"/>
  <c r="I553" i="2"/>
  <c r="L552" i="2"/>
  <c r="K552" i="2" a="1"/>
  <c r="K552" i="2" s="1"/>
  <c r="J552" i="2"/>
  <c r="I552" i="2"/>
  <c r="L551" i="2"/>
  <c r="K551" i="2" a="1"/>
  <c r="K551" i="2" s="1"/>
  <c r="J551" i="2"/>
  <c r="I551" i="2"/>
  <c r="L550" i="2"/>
  <c r="K550" i="2" a="1"/>
  <c r="K550" i="2" s="1"/>
  <c r="J550" i="2"/>
  <c r="I550" i="2"/>
  <c r="L549" i="2"/>
  <c r="K549" i="2" a="1"/>
  <c r="K549" i="2" s="1"/>
  <c r="J549" i="2"/>
  <c r="I549" i="2"/>
  <c r="L548" i="2"/>
  <c r="K548" i="2" a="1"/>
  <c r="K548" i="2" s="1"/>
  <c r="J548" i="2"/>
  <c r="I548" i="2"/>
  <c r="L547" i="2"/>
  <c r="K547" i="2" a="1"/>
  <c r="K547" i="2" s="1"/>
  <c r="J547" i="2"/>
  <c r="I547" i="2"/>
  <c r="L546" i="2"/>
  <c r="K546" i="2" a="1"/>
  <c r="K546" i="2" s="1"/>
  <c r="J546" i="2"/>
  <c r="I546" i="2"/>
  <c r="L545" i="2"/>
  <c r="K545" i="2" a="1"/>
  <c r="K545" i="2" s="1"/>
  <c r="J545" i="2"/>
  <c r="I545" i="2"/>
  <c r="L544" i="2"/>
  <c r="K544" i="2" a="1"/>
  <c r="K544" i="2" s="1"/>
  <c r="J544" i="2"/>
  <c r="I544" i="2"/>
  <c r="L543" i="2"/>
  <c r="K543" i="2" a="1"/>
  <c r="K543" i="2" s="1"/>
  <c r="J543" i="2"/>
  <c r="I543" i="2"/>
  <c r="L542" i="2"/>
  <c r="K542" i="2" a="1"/>
  <c r="K542" i="2" s="1"/>
  <c r="J542" i="2"/>
  <c r="I542" i="2"/>
  <c r="L541" i="2"/>
  <c r="K541" i="2" a="1"/>
  <c r="K541" i="2" s="1"/>
  <c r="J541" i="2"/>
  <c r="I541" i="2"/>
  <c r="L540" i="2"/>
  <c r="K540" i="2" a="1"/>
  <c r="K540" i="2" s="1"/>
  <c r="J540" i="2"/>
  <c r="I540" i="2"/>
  <c r="L539" i="2"/>
  <c r="K539" i="2" a="1"/>
  <c r="K539" i="2" s="1"/>
  <c r="J539" i="2"/>
  <c r="I539" i="2"/>
  <c r="L538" i="2"/>
  <c r="K538" i="2" a="1"/>
  <c r="K538" i="2" s="1"/>
  <c r="J538" i="2"/>
  <c r="I538" i="2"/>
  <c r="L537" i="2"/>
  <c r="K537" i="2" a="1"/>
  <c r="K537" i="2" s="1"/>
  <c r="J537" i="2"/>
  <c r="I537" i="2"/>
  <c r="L536" i="2"/>
  <c r="K536" i="2" a="1"/>
  <c r="K536" i="2" s="1"/>
  <c r="J536" i="2"/>
  <c r="I536" i="2"/>
  <c r="L535" i="2"/>
  <c r="K535" i="2" a="1"/>
  <c r="K535" i="2" s="1"/>
  <c r="J535" i="2"/>
  <c r="I535" i="2"/>
  <c r="L534" i="2"/>
  <c r="K534" i="2" a="1"/>
  <c r="K534" i="2" s="1"/>
  <c r="J534" i="2"/>
  <c r="I534" i="2"/>
  <c r="L533" i="2"/>
  <c r="K533" i="2" a="1"/>
  <c r="K533" i="2" s="1"/>
  <c r="J533" i="2"/>
  <c r="I533" i="2"/>
  <c r="L532" i="2"/>
  <c r="K532" i="2" a="1"/>
  <c r="K532" i="2" s="1"/>
  <c r="J532" i="2"/>
  <c r="I532" i="2"/>
  <c r="L531" i="2"/>
  <c r="K531" i="2" a="1"/>
  <c r="K531" i="2" s="1"/>
  <c r="J531" i="2"/>
  <c r="I531" i="2"/>
  <c r="L530" i="2"/>
  <c r="K530" i="2" a="1"/>
  <c r="K530" i="2" s="1"/>
  <c r="J530" i="2"/>
  <c r="I530" i="2"/>
  <c r="L529" i="2"/>
  <c r="K529" i="2" a="1"/>
  <c r="K529" i="2" s="1"/>
  <c r="J529" i="2"/>
  <c r="I529" i="2"/>
  <c r="L528" i="2"/>
  <c r="K528" i="2" a="1"/>
  <c r="K528" i="2" s="1"/>
  <c r="J528" i="2"/>
  <c r="I528" i="2"/>
  <c r="L527" i="2"/>
  <c r="K527" i="2" a="1"/>
  <c r="K527" i="2" s="1"/>
  <c r="J527" i="2"/>
  <c r="I527" i="2"/>
  <c r="L526" i="2"/>
  <c r="K526" i="2" a="1"/>
  <c r="K526" i="2" s="1"/>
  <c r="J526" i="2"/>
  <c r="I526" i="2"/>
  <c r="L525" i="2"/>
  <c r="K525" i="2" a="1"/>
  <c r="K525" i="2" s="1"/>
  <c r="J525" i="2"/>
  <c r="I525" i="2"/>
  <c r="L524" i="2"/>
  <c r="K524" i="2" a="1"/>
  <c r="K524" i="2" s="1"/>
  <c r="J524" i="2"/>
  <c r="I524" i="2"/>
  <c r="L523" i="2"/>
  <c r="K523" i="2" a="1"/>
  <c r="K523" i="2" s="1"/>
  <c r="J523" i="2"/>
  <c r="I523" i="2"/>
  <c r="L522" i="2"/>
  <c r="K522" i="2" a="1"/>
  <c r="K522" i="2" s="1"/>
  <c r="J522" i="2"/>
  <c r="I522" i="2"/>
  <c r="L521" i="2"/>
  <c r="K521" i="2" a="1"/>
  <c r="K521" i="2" s="1"/>
  <c r="J521" i="2"/>
  <c r="I521" i="2"/>
  <c r="L520" i="2"/>
  <c r="K520" i="2" a="1"/>
  <c r="K520" i="2" s="1"/>
  <c r="J520" i="2"/>
  <c r="I520" i="2"/>
  <c r="L519" i="2"/>
  <c r="K519" i="2" a="1"/>
  <c r="K519" i="2" s="1"/>
  <c r="J519" i="2"/>
  <c r="I519" i="2"/>
  <c r="L518" i="2"/>
  <c r="K518" i="2" a="1"/>
  <c r="K518" i="2" s="1"/>
  <c r="J518" i="2"/>
  <c r="I518" i="2"/>
  <c r="L517" i="2"/>
  <c r="K517" i="2" a="1"/>
  <c r="K517" i="2" s="1"/>
  <c r="J517" i="2"/>
  <c r="I517" i="2"/>
  <c r="L516" i="2"/>
  <c r="K516" i="2" a="1"/>
  <c r="K516" i="2" s="1"/>
  <c r="J516" i="2"/>
  <c r="I516" i="2"/>
  <c r="L515" i="2"/>
  <c r="K515" i="2" a="1"/>
  <c r="K515" i="2" s="1"/>
  <c r="J515" i="2"/>
  <c r="I515" i="2"/>
  <c r="L514" i="2"/>
  <c r="K514" i="2" a="1"/>
  <c r="K514" i="2" s="1"/>
  <c r="J514" i="2"/>
  <c r="I514" i="2"/>
  <c r="L513" i="2"/>
  <c r="K513" i="2" a="1"/>
  <c r="K513" i="2" s="1"/>
  <c r="J513" i="2"/>
  <c r="I513" i="2"/>
  <c r="L512" i="2"/>
  <c r="K512" i="2" a="1"/>
  <c r="K512" i="2" s="1"/>
  <c r="J512" i="2"/>
  <c r="I512" i="2"/>
  <c r="L511" i="2"/>
  <c r="K511" i="2" a="1"/>
  <c r="K511" i="2" s="1"/>
  <c r="J511" i="2"/>
  <c r="I511" i="2"/>
  <c r="L510" i="2"/>
  <c r="K510" i="2" a="1"/>
  <c r="K510" i="2" s="1"/>
  <c r="J510" i="2"/>
  <c r="I510" i="2"/>
  <c r="L509" i="2"/>
  <c r="K509" i="2" a="1"/>
  <c r="K509" i="2" s="1"/>
  <c r="J509" i="2"/>
  <c r="I509" i="2"/>
  <c r="L508" i="2"/>
  <c r="K508" i="2" a="1"/>
  <c r="K508" i="2" s="1"/>
  <c r="J508" i="2"/>
  <c r="I508" i="2"/>
  <c r="L507" i="2"/>
  <c r="K507" i="2" a="1"/>
  <c r="K507" i="2" s="1"/>
  <c r="J507" i="2"/>
  <c r="I507" i="2"/>
  <c r="L506" i="2"/>
  <c r="K506" i="2" a="1"/>
  <c r="K506" i="2" s="1"/>
  <c r="J506" i="2"/>
  <c r="I506" i="2"/>
  <c r="L505" i="2"/>
  <c r="K505" i="2" a="1"/>
  <c r="K505" i="2" s="1"/>
  <c r="J505" i="2"/>
  <c r="I505" i="2"/>
  <c r="L504" i="2"/>
  <c r="K504" i="2" a="1"/>
  <c r="K504" i="2" s="1"/>
  <c r="J504" i="2"/>
  <c r="I504" i="2"/>
  <c r="L503" i="2"/>
  <c r="K503" i="2" a="1"/>
  <c r="K503" i="2" s="1"/>
  <c r="J503" i="2"/>
  <c r="I503" i="2"/>
  <c r="L502" i="2"/>
  <c r="K502" i="2" a="1"/>
  <c r="K502" i="2" s="1"/>
  <c r="J502" i="2"/>
  <c r="I502" i="2"/>
  <c r="L501" i="2"/>
  <c r="K501" i="2" a="1"/>
  <c r="K501" i="2" s="1"/>
  <c r="J501" i="2"/>
  <c r="I501" i="2"/>
  <c r="L500" i="2"/>
  <c r="K500" i="2" a="1"/>
  <c r="K500" i="2" s="1"/>
  <c r="J500" i="2"/>
  <c r="I500" i="2"/>
  <c r="L499" i="2"/>
  <c r="K499" i="2" a="1"/>
  <c r="K499" i="2" s="1"/>
  <c r="J499" i="2"/>
  <c r="I499" i="2"/>
  <c r="L498" i="2"/>
  <c r="K498" i="2" a="1"/>
  <c r="K498" i="2" s="1"/>
  <c r="J498" i="2"/>
  <c r="I498" i="2"/>
  <c r="L497" i="2"/>
  <c r="K497" i="2" a="1"/>
  <c r="K497" i="2" s="1"/>
  <c r="J497" i="2"/>
  <c r="I497" i="2"/>
  <c r="L496" i="2"/>
  <c r="K496" i="2" a="1"/>
  <c r="K496" i="2" s="1"/>
  <c r="J496" i="2"/>
  <c r="I496" i="2"/>
  <c r="L495" i="2"/>
  <c r="K495" i="2" a="1"/>
  <c r="K495" i="2" s="1"/>
  <c r="J495" i="2"/>
  <c r="I495" i="2"/>
  <c r="L494" i="2"/>
  <c r="K494" i="2" a="1"/>
  <c r="K494" i="2" s="1"/>
  <c r="J494" i="2"/>
  <c r="I494" i="2"/>
  <c r="L493" i="2"/>
  <c r="K493" i="2" a="1"/>
  <c r="K493" i="2" s="1"/>
  <c r="J493" i="2"/>
  <c r="I493" i="2"/>
  <c r="L492" i="2"/>
  <c r="K492" i="2" a="1"/>
  <c r="K492" i="2" s="1"/>
  <c r="J492" i="2"/>
  <c r="I492" i="2"/>
  <c r="L491" i="2"/>
  <c r="K491" i="2" a="1"/>
  <c r="K491" i="2" s="1"/>
  <c r="J491" i="2"/>
  <c r="I491" i="2"/>
  <c r="L490" i="2"/>
  <c r="K490" i="2" a="1"/>
  <c r="K490" i="2" s="1"/>
  <c r="J490" i="2"/>
  <c r="I490" i="2"/>
  <c r="L489" i="2"/>
  <c r="K489" i="2" a="1"/>
  <c r="K489" i="2" s="1"/>
  <c r="J489" i="2"/>
  <c r="I489" i="2"/>
  <c r="L488" i="2"/>
  <c r="K488" i="2" a="1"/>
  <c r="K488" i="2" s="1"/>
  <c r="J488" i="2"/>
  <c r="I488" i="2"/>
  <c r="L487" i="2"/>
  <c r="K487" i="2" a="1"/>
  <c r="K487" i="2" s="1"/>
  <c r="J487" i="2"/>
  <c r="I487" i="2"/>
  <c r="L486" i="2"/>
  <c r="K486" i="2" a="1"/>
  <c r="K486" i="2" s="1"/>
  <c r="J486" i="2"/>
  <c r="I486" i="2"/>
  <c r="L485" i="2"/>
  <c r="K485" i="2" a="1"/>
  <c r="K485" i="2" s="1"/>
  <c r="J485" i="2"/>
  <c r="I485" i="2"/>
  <c r="L484" i="2"/>
  <c r="K484" i="2" a="1"/>
  <c r="K484" i="2" s="1"/>
  <c r="J484" i="2"/>
  <c r="I484" i="2"/>
  <c r="L483" i="2"/>
  <c r="K483" i="2" a="1"/>
  <c r="K483" i="2" s="1"/>
  <c r="J483" i="2"/>
  <c r="I483" i="2"/>
  <c r="L482" i="2"/>
  <c r="K482" i="2" a="1"/>
  <c r="K482" i="2" s="1"/>
  <c r="J482" i="2"/>
  <c r="I482" i="2"/>
  <c r="L481" i="2"/>
  <c r="K481" i="2" a="1"/>
  <c r="K481" i="2" s="1"/>
  <c r="J481" i="2"/>
  <c r="I481" i="2"/>
  <c r="L480" i="2"/>
  <c r="K480" i="2" a="1"/>
  <c r="K480" i="2" s="1"/>
  <c r="J480" i="2"/>
  <c r="I480" i="2"/>
  <c r="L479" i="2"/>
  <c r="K479" i="2" a="1"/>
  <c r="K479" i="2" s="1"/>
  <c r="J479" i="2"/>
  <c r="I479" i="2"/>
  <c r="L478" i="2"/>
  <c r="K478" i="2" a="1"/>
  <c r="K478" i="2" s="1"/>
  <c r="J478" i="2"/>
  <c r="I478" i="2"/>
  <c r="L477" i="2"/>
  <c r="K477" i="2" a="1"/>
  <c r="K477" i="2" s="1"/>
  <c r="J477" i="2"/>
  <c r="I477" i="2"/>
  <c r="L476" i="2"/>
  <c r="K476" i="2" a="1"/>
  <c r="K476" i="2" s="1"/>
  <c r="J476" i="2"/>
  <c r="I476" i="2"/>
  <c r="L475" i="2"/>
  <c r="K475" i="2" a="1"/>
  <c r="K475" i="2" s="1"/>
  <c r="J475" i="2"/>
  <c r="I475" i="2"/>
  <c r="L474" i="2"/>
  <c r="K474" i="2" a="1"/>
  <c r="K474" i="2" s="1"/>
  <c r="J474" i="2"/>
  <c r="I474" i="2"/>
  <c r="L473" i="2"/>
  <c r="K473" i="2" a="1"/>
  <c r="K473" i="2" s="1"/>
  <c r="J473" i="2"/>
  <c r="I473" i="2"/>
  <c r="L472" i="2"/>
  <c r="K472" i="2" a="1"/>
  <c r="K472" i="2" s="1"/>
  <c r="J472" i="2"/>
  <c r="I472" i="2"/>
  <c r="L471" i="2"/>
  <c r="K471" i="2" a="1"/>
  <c r="K471" i="2" s="1"/>
  <c r="J471" i="2"/>
  <c r="I471" i="2"/>
  <c r="L470" i="2"/>
  <c r="K470" i="2" a="1"/>
  <c r="K470" i="2" s="1"/>
  <c r="J470" i="2"/>
  <c r="I470" i="2"/>
  <c r="L469" i="2"/>
  <c r="K469" i="2" a="1"/>
  <c r="K469" i="2" s="1"/>
  <c r="J469" i="2"/>
  <c r="I469" i="2"/>
  <c r="L468" i="2"/>
  <c r="K468" i="2" a="1"/>
  <c r="K468" i="2" s="1"/>
  <c r="J468" i="2"/>
  <c r="I468" i="2"/>
  <c r="L467" i="2"/>
  <c r="K467" i="2" a="1"/>
  <c r="K467" i="2" s="1"/>
  <c r="J467" i="2"/>
  <c r="I467" i="2"/>
  <c r="L466" i="2"/>
  <c r="K466" i="2" a="1"/>
  <c r="K466" i="2" s="1"/>
  <c r="J466" i="2"/>
  <c r="I466" i="2"/>
  <c r="L465" i="2"/>
  <c r="K465" i="2" a="1"/>
  <c r="K465" i="2" s="1"/>
  <c r="J465" i="2"/>
  <c r="I465" i="2"/>
  <c r="L464" i="2"/>
  <c r="K464" i="2" a="1"/>
  <c r="K464" i="2" s="1"/>
  <c r="J464" i="2"/>
  <c r="I464" i="2"/>
  <c r="L463" i="2"/>
  <c r="K463" i="2" a="1"/>
  <c r="K463" i="2" s="1"/>
  <c r="J463" i="2"/>
  <c r="I463" i="2"/>
  <c r="L462" i="2"/>
  <c r="K462" i="2" a="1"/>
  <c r="K462" i="2" s="1"/>
  <c r="J462" i="2"/>
  <c r="I462" i="2"/>
  <c r="L461" i="2"/>
  <c r="K461" i="2" a="1"/>
  <c r="K461" i="2" s="1"/>
  <c r="J461" i="2"/>
  <c r="I461" i="2"/>
  <c r="L460" i="2"/>
  <c r="K460" i="2" a="1"/>
  <c r="K460" i="2" s="1"/>
  <c r="J460" i="2"/>
  <c r="I460" i="2"/>
  <c r="L459" i="2"/>
  <c r="K459" i="2" a="1"/>
  <c r="K459" i="2" s="1"/>
  <c r="J459" i="2"/>
  <c r="I459" i="2"/>
  <c r="L458" i="2"/>
  <c r="K458" i="2" a="1"/>
  <c r="K458" i="2" s="1"/>
  <c r="J458" i="2"/>
  <c r="I458" i="2"/>
  <c r="L457" i="2"/>
  <c r="K457" i="2" a="1"/>
  <c r="K457" i="2" s="1"/>
  <c r="J457" i="2"/>
  <c r="I457" i="2"/>
  <c r="L456" i="2"/>
  <c r="K456" i="2" a="1"/>
  <c r="K456" i="2" s="1"/>
  <c r="J456" i="2"/>
  <c r="I456" i="2"/>
  <c r="L455" i="2"/>
  <c r="K455" i="2" a="1"/>
  <c r="K455" i="2" s="1"/>
  <c r="J455" i="2"/>
  <c r="I455" i="2"/>
  <c r="L454" i="2"/>
  <c r="K454" i="2" a="1"/>
  <c r="K454" i="2" s="1"/>
  <c r="J454" i="2"/>
  <c r="I454" i="2"/>
  <c r="L453" i="2"/>
  <c r="K453" i="2" a="1"/>
  <c r="K453" i="2" s="1"/>
  <c r="J453" i="2"/>
  <c r="I453" i="2"/>
  <c r="L452" i="2"/>
  <c r="K452" i="2" a="1"/>
  <c r="K452" i="2" s="1"/>
  <c r="J452" i="2"/>
  <c r="I452" i="2"/>
  <c r="L451" i="2"/>
  <c r="K451" i="2" a="1"/>
  <c r="K451" i="2" s="1"/>
  <c r="J451" i="2"/>
  <c r="I451" i="2"/>
  <c r="L450" i="2"/>
  <c r="K450" i="2" a="1"/>
  <c r="K450" i="2" s="1"/>
  <c r="J450" i="2"/>
  <c r="I450" i="2"/>
  <c r="L449" i="2"/>
  <c r="K449" i="2" a="1"/>
  <c r="K449" i="2" s="1"/>
  <c r="J449" i="2"/>
  <c r="I449" i="2"/>
  <c r="L448" i="2"/>
  <c r="K448" i="2" a="1"/>
  <c r="K448" i="2" s="1"/>
  <c r="J448" i="2"/>
  <c r="I448" i="2"/>
  <c r="L447" i="2"/>
  <c r="K447" i="2" a="1"/>
  <c r="K447" i="2" s="1"/>
  <c r="J447" i="2"/>
  <c r="I447" i="2"/>
  <c r="L446" i="2"/>
  <c r="K446" i="2" a="1"/>
  <c r="K446" i="2" s="1"/>
  <c r="J446" i="2"/>
  <c r="I446" i="2"/>
  <c r="L445" i="2"/>
  <c r="K445" i="2" a="1"/>
  <c r="K445" i="2" s="1"/>
  <c r="J445" i="2"/>
  <c r="I445" i="2"/>
  <c r="L444" i="2"/>
  <c r="K444" i="2" a="1"/>
  <c r="K444" i="2" s="1"/>
  <c r="J444" i="2"/>
  <c r="I444" i="2"/>
  <c r="L443" i="2"/>
  <c r="K443" i="2" a="1"/>
  <c r="K443" i="2" s="1"/>
  <c r="J443" i="2"/>
  <c r="I443" i="2"/>
  <c r="L442" i="2"/>
  <c r="K442" i="2" a="1"/>
  <c r="K442" i="2" s="1"/>
  <c r="J442" i="2"/>
  <c r="I442" i="2"/>
  <c r="L441" i="2"/>
  <c r="K441" i="2" a="1"/>
  <c r="K441" i="2" s="1"/>
  <c r="J441" i="2"/>
  <c r="I441" i="2"/>
  <c r="L440" i="2"/>
  <c r="K440" i="2" a="1"/>
  <c r="K440" i="2" s="1"/>
  <c r="J440" i="2"/>
  <c r="I440" i="2"/>
  <c r="L439" i="2"/>
  <c r="K439" i="2" a="1"/>
  <c r="K439" i="2" s="1"/>
  <c r="J439" i="2"/>
  <c r="I439" i="2"/>
  <c r="L438" i="2"/>
  <c r="K438" i="2" a="1"/>
  <c r="K438" i="2" s="1"/>
  <c r="J438" i="2"/>
  <c r="I438" i="2"/>
  <c r="L437" i="2"/>
  <c r="K437" i="2" a="1"/>
  <c r="K437" i="2" s="1"/>
  <c r="J437" i="2"/>
  <c r="I437" i="2"/>
  <c r="L436" i="2"/>
  <c r="K436" i="2" a="1"/>
  <c r="K436" i="2" s="1"/>
  <c r="J436" i="2"/>
  <c r="I436" i="2"/>
  <c r="L435" i="2"/>
  <c r="K435" i="2" a="1"/>
  <c r="K435" i="2" s="1"/>
  <c r="J435" i="2"/>
  <c r="I435" i="2"/>
  <c r="L434" i="2"/>
  <c r="K434" i="2" a="1"/>
  <c r="K434" i="2" s="1"/>
  <c r="J434" i="2"/>
  <c r="I434" i="2"/>
  <c r="L433" i="2"/>
  <c r="K433" i="2" a="1"/>
  <c r="K433" i="2" s="1"/>
  <c r="J433" i="2"/>
  <c r="I433" i="2"/>
  <c r="L432" i="2"/>
  <c r="K432" i="2" a="1"/>
  <c r="K432" i="2" s="1"/>
  <c r="J432" i="2"/>
  <c r="I432" i="2"/>
  <c r="L431" i="2"/>
  <c r="K431" i="2" a="1"/>
  <c r="K431" i="2" s="1"/>
  <c r="J431" i="2"/>
  <c r="I431" i="2"/>
  <c r="L430" i="2"/>
  <c r="K430" i="2" a="1"/>
  <c r="K430" i="2" s="1"/>
  <c r="J430" i="2"/>
  <c r="I430" i="2"/>
  <c r="L429" i="2"/>
  <c r="K429" i="2" a="1"/>
  <c r="K429" i="2" s="1"/>
  <c r="J429" i="2"/>
  <c r="I429" i="2"/>
  <c r="L428" i="2"/>
  <c r="K428" i="2" a="1"/>
  <c r="K428" i="2" s="1"/>
  <c r="J428" i="2"/>
  <c r="I428" i="2"/>
  <c r="L427" i="2"/>
  <c r="K427" i="2" a="1"/>
  <c r="K427" i="2" s="1"/>
  <c r="J427" i="2"/>
  <c r="I427" i="2"/>
  <c r="L426" i="2"/>
  <c r="K426" i="2" a="1"/>
  <c r="K426" i="2" s="1"/>
  <c r="J426" i="2"/>
  <c r="I426" i="2"/>
  <c r="L425" i="2"/>
  <c r="K425" i="2" a="1"/>
  <c r="K425" i="2" s="1"/>
  <c r="J425" i="2"/>
  <c r="I425" i="2"/>
  <c r="L424" i="2"/>
  <c r="K424" i="2" a="1"/>
  <c r="K424" i="2" s="1"/>
  <c r="J424" i="2"/>
  <c r="I424" i="2"/>
  <c r="L423" i="2"/>
  <c r="K423" i="2" a="1"/>
  <c r="K423" i="2" s="1"/>
  <c r="J423" i="2"/>
  <c r="I423" i="2"/>
  <c r="L422" i="2"/>
  <c r="K422" i="2" a="1"/>
  <c r="K422" i="2" s="1"/>
  <c r="J422" i="2"/>
  <c r="I422" i="2"/>
  <c r="L421" i="2"/>
  <c r="K421" i="2" a="1"/>
  <c r="K421" i="2" s="1"/>
  <c r="J421" i="2"/>
  <c r="I421" i="2"/>
  <c r="L420" i="2"/>
  <c r="K420" i="2" a="1"/>
  <c r="K420" i="2" s="1"/>
  <c r="J420" i="2"/>
  <c r="I420" i="2"/>
  <c r="L419" i="2"/>
  <c r="K419" i="2" a="1"/>
  <c r="K419" i="2" s="1"/>
  <c r="J419" i="2"/>
  <c r="I419" i="2"/>
  <c r="L418" i="2"/>
  <c r="K418" i="2" a="1"/>
  <c r="K418" i="2" s="1"/>
  <c r="J418" i="2"/>
  <c r="I418" i="2"/>
  <c r="L417" i="2"/>
  <c r="K417" i="2" a="1"/>
  <c r="K417" i="2" s="1"/>
  <c r="J417" i="2"/>
  <c r="I417" i="2"/>
  <c r="L416" i="2"/>
  <c r="K416" i="2" a="1"/>
  <c r="K416" i="2" s="1"/>
  <c r="J416" i="2"/>
  <c r="I416" i="2"/>
  <c r="L415" i="2"/>
  <c r="K415" i="2" a="1"/>
  <c r="K415" i="2" s="1"/>
  <c r="J415" i="2"/>
  <c r="I415" i="2"/>
  <c r="L414" i="2"/>
  <c r="K414" i="2" a="1"/>
  <c r="K414" i="2" s="1"/>
  <c r="J414" i="2"/>
  <c r="I414" i="2"/>
  <c r="L413" i="2"/>
  <c r="K413" i="2" a="1"/>
  <c r="K413" i="2" s="1"/>
  <c r="J413" i="2"/>
  <c r="I413" i="2"/>
  <c r="L412" i="2"/>
  <c r="K412" i="2" a="1"/>
  <c r="K412" i="2" s="1"/>
  <c r="J412" i="2"/>
  <c r="I412" i="2"/>
  <c r="L411" i="2"/>
  <c r="K411" i="2" a="1"/>
  <c r="K411" i="2" s="1"/>
  <c r="J411" i="2"/>
  <c r="I411" i="2"/>
  <c r="L410" i="2"/>
  <c r="K410" i="2" a="1"/>
  <c r="K410" i="2" s="1"/>
  <c r="J410" i="2"/>
  <c r="I410" i="2"/>
  <c r="L409" i="2"/>
  <c r="K409" i="2" a="1"/>
  <c r="K409" i="2" s="1"/>
  <c r="J409" i="2"/>
  <c r="I409" i="2"/>
  <c r="L408" i="2"/>
  <c r="K408" i="2" a="1"/>
  <c r="K408" i="2" s="1"/>
  <c r="J408" i="2"/>
  <c r="I408" i="2"/>
  <c r="L407" i="2"/>
  <c r="K407" i="2" a="1"/>
  <c r="K407" i="2" s="1"/>
  <c r="J407" i="2"/>
  <c r="I407" i="2"/>
  <c r="L406" i="2"/>
  <c r="K406" i="2" a="1"/>
  <c r="K406" i="2" s="1"/>
  <c r="J406" i="2"/>
  <c r="I406" i="2"/>
  <c r="L405" i="2"/>
  <c r="K405" i="2" a="1"/>
  <c r="K405" i="2" s="1"/>
  <c r="J405" i="2"/>
  <c r="I405" i="2"/>
  <c r="L404" i="2"/>
  <c r="K404" i="2" a="1"/>
  <c r="K404" i="2" s="1"/>
  <c r="J404" i="2"/>
  <c r="I404" i="2"/>
  <c r="L403" i="2"/>
  <c r="K403" i="2" a="1"/>
  <c r="K403" i="2" s="1"/>
  <c r="J403" i="2"/>
  <c r="I403" i="2"/>
  <c r="L402" i="2"/>
  <c r="K402" i="2" a="1"/>
  <c r="K402" i="2" s="1"/>
  <c r="J402" i="2"/>
  <c r="I402" i="2"/>
  <c r="L401" i="2"/>
  <c r="K401" i="2" a="1"/>
  <c r="K401" i="2" s="1"/>
  <c r="J401" i="2"/>
  <c r="I401" i="2"/>
  <c r="L400" i="2"/>
  <c r="K400" i="2" a="1"/>
  <c r="K400" i="2" s="1"/>
  <c r="J400" i="2"/>
  <c r="I400" i="2"/>
  <c r="L399" i="2"/>
  <c r="K399" i="2" a="1"/>
  <c r="K399" i="2" s="1"/>
  <c r="J399" i="2"/>
  <c r="I399" i="2"/>
  <c r="L398" i="2"/>
  <c r="K398" i="2" a="1"/>
  <c r="K398" i="2" s="1"/>
  <c r="J398" i="2"/>
  <c r="I398" i="2"/>
  <c r="L397" i="2"/>
  <c r="K397" i="2" a="1"/>
  <c r="K397" i="2" s="1"/>
  <c r="J397" i="2"/>
  <c r="I397" i="2"/>
  <c r="L396" i="2"/>
  <c r="K396" i="2" a="1"/>
  <c r="K396" i="2" s="1"/>
  <c r="J396" i="2"/>
  <c r="I396" i="2"/>
  <c r="L395" i="2"/>
  <c r="K395" i="2" a="1"/>
  <c r="K395" i="2" s="1"/>
  <c r="J395" i="2"/>
  <c r="I395" i="2"/>
  <c r="L394" i="2"/>
  <c r="K394" i="2" a="1"/>
  <c r="K394" i="2" s="1"/>
  <c r="J394" i="2"/>
  <c r="I394" i="2"/>
  <c r="L393" i="2"/>
  <c r="K393" i="2" a="1"/>
  <c r="K393" i="2" s="1"/>
  <c r="J393" i="2"/>
  <c r="I393" i="2"/>
  <c r="L392" i="2"/>
  <c r="K392" i="2" a="1"/>
  <c r="K392" i="2" s="1"/>
  <c r="J392" i="2"/>
  <c r="I392" i="2"/>
  <c r="L391" i="2"/>
  <c r="K391" i="2" a="1"/>
  <c r="K391" i="2" s="1"/>
  <c r="J391" i="2"/>
  <c r="I391" i="2"/>
  <c r="L390" i="2"/>
  <c r="K390" i="2" a="1"/>
  <c r="K390" i="2" s="1"/>
  <c r="J390" i="2"/>
  <c r="I390" i="2"/>
  <c r="L389" i="2"/>
  <c r="K389" i="2" a="1"/>
  <c r="K389" i="2" s="1"/>
  <c r="J389" i="2"/>
  <c r="I389" i="2"/>
  <c r="L388" i="2"/>
  <c r="K388" i="2" a="1"/>
  <c r="K388" i="2" s="1"/>
  <c r="J388" i="2"/>
  <c r="I388" i="2"/>
  <c r="L387" i="2"/>
  <c r="K387" i="2" a="1"/>
  <c r="K387" i="2" s="1"/>
  <c r="J387" i="2"/>
  <c r="I387" i="2"/>
  <c r="L386" i="2"/>
  <c r="K386" i="2" a="1"/>
  <c r="K386" i="2" s="1"/>
  <c r="J386" i="2"/>
  <c r="I386" i="2"/>
  <c r="L385" i="2"/>
  <c r="K385" i="2" a="1"/>
  <c r="K385" i="2" s="1"/>
  <c r="J385" i="2"/>
  <c r="I385" i="2"/>
  <c r="L384" i="2"/>
  <c r="K384" i="2" a="1"/>
  <c r="K384" i="2" s="1"/>
  <c r="J384" i="2"/>
  <c r="I384" i="2"/>
  <c r="L383" i="2"/>
  <c r="K383" i="2" a="1"/>
  <c r="K383" i="2" s="1"/>
  <c r="J383" i="2"/>
  <c r="I383" i="2"/>
  <c r="L382" i="2"/>
  <c r="K382" i="2" a="1"/>
  <c r="K382" i="2" s="1"/>
  <c r="J382" i="2"/>
  <c r="I382" i="2"/>
  <c r="L381" i="2"/>
  <c r="K381" i="2" a="1"/>
  <c r="K381" i="2" s="1"/>
  <c r="J381" i="2"/>
  <c r="I381" i="2"/>
  <c r="L380" i="2"/>
  <c r="K380" i="2" a="1"/>
  <c r="K380" i="2" s="1"/>
  <c r="J380" i="2"/>
  <c r="I380" i="2"/>
  <c r="L379" i="2"/>
  <c r="K379" i="2" a="1"/>
  <c r="K379" i="2" s="1"/>
  <c r="J379" i="2"/>
  <c r="I379" i="2"/>
  <c r="L378" i="2"/>
  <c r="K378" i="2" a="1"/>
  <c r="K378" i="2" s="1"/>
  <c r="J378" i="2"/>
  <c r="I378" i="2"/>
  <c r="L377" i="2"/>
  <c r="K377" i="2" a="1"/>
  <c r="K377" i="2" s="1"/>
  <c r="J377" i="2"/>
  <c r="I377" i="2"/>
  <c r="L376" i="2"/>
  <c r="K376" i="2" a="1"/>
  <c r="K376" i="2" s="1"/>
  <c r="J376" i="2"/>
  <c r="I376" i="2"/>
  <c r="L375" i="2"/>
  <c r="K375" i="2" a="1"/>
  <c r="K375" i="2" s="1"/>
  <c r="J375" i="2"/>
  <c r="I375" i="2"/>
  <c r="L374" i="2"/>
  <c r="K374" i="2" a="1"/>
  <c r="K374" i="2" s="1"/>
  <c r="J374" i="2"/>
  <c r="I374" i="2"/>
  <c r="L373" i="2"/>
  <c r="K373" i="2" a="1"/>
  <c r="K373" i="2" s="1"/>
  <c r="J373" i="2"/>
  <c r="I373" i="2"/>
  <c r="L372" i="2"/>
  <c r="K372" i="2" a="1"/>
  <c r="K372" i="2" s="1"/>
  <c r="J372" i="2"/>
  <c r="I372" i="2"/>
  <c r="L371" i="2"/>
  <c r="K371" i="2" a="1"/>
  <c r="K371" i="2" s="1"/>
  <c r="J371" i="2"/>
  <c r="I371" i="2"/>
  <c r="L370" i="2"/>
  <c r="K370" i="2" a="1"/>
  <c r="K370" i="2" s="1"/>
  <c r="J370" i="2"/>
  <c r="I370" i="2"/>
  <c r="L369" i="2"/>
  <c r="K369" i="2" a="1"/>
  <c r="K369" i="2" s="1"/>
  <c r="J369" i="2"/>
  <c r="I369" i="2"/>
  <c r="L368" i="2"/>
  <c r="K368" i="2" a="1"/>
  <c r="K368" i="2" s="1"/>
  <c r="J368" i="2"/>
  <c r="I368" i="2"/>
  <c r="L367" i="2"/>
  <c r="K367" i="2" a="1"/>
  <c r="K367" i="2" s="1"/>
  <c r="J367" i="2"/>
  <c r="I367" i="2"/>
  <c r="L366" i="2"/>
  <c r="K366" i="2" a="1"/>
  <c r="K366" i="2" s="1"/>
  <c r="J366" i="2"/>
  <c r="I366" i="2"/>
  <c r="L365" i="2"/>
  <c r="K365" i="2" a="1"/>
  <c r="K365" i="2" s="1"/>
  <c r="J365" i="2"/>
  <c r="I365" i="2"/>
  <c r="L364" i="2"/>
  <c r="K364" i="2" a="1"/>
  <c r="K364" i="2" s="1"/>
  <c r="J364" i="2"/>
  <c r="I364" i="2"/>
  <c r="L363" i="2"/>
  <c r="K363" i="2" a="1"/>
  <c r="K363" i="2" s="1"/>
  <c r="J363" i="2"/>
  <c r="I363" i="2"/>
  <c r="L362" i="2"/>
  <c r="K362" i="2" a="1"/>
  <c r="K362" i="2" s="1"/>
  <c r="J362" i="2"/>
  <c r="I362" i="2"/>
  <c r="L361" i="2"/>
  <c r="K361" i="2" a="1"/>
  <c r="K361" i="2" s="1"/>
  <c r="J361" i="2"/>
  <c r="I361" i="2"/>
  <c r="L360" i="2"/>
  <c r="K360" i="2" a="1"/>
  <c r="K360" i="2" s="1"/>
  <c r="J360" i="2"/>
  <c r="I360" i="2"/>
  <c r="L359" i="2"/>
  <c r="K359" i="2" a="1"/>
  <c r="K359" i="2" s="1"/>
  <c r="J359" i="2"/>
  <c r="I359" i="2"/>
  <c r="L358" i="2"/>
  <c r="K358" i="2" a="1"/>
  <c r="K358" i="2" s="1"/>
  <c r="J358" i="2"/>
  <c r="I358" i="2"/>
  <c r="L357" i="2"/>
  <c r="K357" i="2" a="1"/>
  <c r="K357" i="2" s="1"/>
  <c r="J357" i="2"/>
  <c r="I357" i="2"/>
  <c r="L356" i="2"/>
  <c r="K356" i="2" a="1"/>
  <c r="K356" i="2" s="1"/>
  <c r="J356" i="2"/>
  <c r="I356" i="2"/>
  <c r="L355" i="2"/>
  <c r="K355" i="2" a="1"/>
  <c r="K355" i="2" s="1"/>
  <c r="J355" i="2"/>
  <c r="I355" i="2"/>
  <c r="L354" i="2"/>
  <c r="K354" i="2" a="1"/>
  <c r="K354" i="2" s="1"/>
  <c r="J354" i="2"/>
  <c r="I354" i="2"/>
  <c r="L353" i="2"/>
  <c r="K353" i="2" a="1"/>
  <c r="K353" i="2" s="1"/>
  <c r="J353" i="2"/>
  <c r="I353" i="2"/>
  <c r="L352" i="2"/>
  <c r="K352" i="2" a="1"/>
  <c r="K352" i="2" s="1"/>
  <c r="J352" i="2"/>
  <c r="I352" i="2"/>
  <c r="L351" i="2"/>
  <c r="K351" i="2" a="1"/>
  <c r="K351" i="2" s="1"/>
  <c r="J351" i="2"/>
  <c r="I351" i="2"/>
  <c r="L350" i="2"/>
  <c r="K350" i="2" a="1"/>
  <c r="K350" i="2" s="1"/>
  <c r="J350" i="2"/>
  <c r="I350" i="2"/>
  <c r="L349" i="2"/>
  <c r="K349" i="2" a="1"/>
  <c r="K349" i="2" s="1"/>
  <c r="J349" i="2"/>
  <c r="I349" i="2"/>
  <c r="L348" i="2"/>
  <c r="K348" i="2" a="1"/>
  <c r="K348" i="2" s="1"/>
  <c r="J348" i="2"/>
  <c r="I348" i="2"/>
  <c r="L347" i="2"/>
  <c r="K347" i="2" a="1"/>
  <c r="K347" i="2" s="1"/>
  <c r="J347" i="2"/>
  <c r="I347" i="2"/>
  <c r="L346" i="2"/>
  <c r="K346" i="2" a="1"/>
  <c r="K346" i="2" s="1"/>
  <c r="J346" i="2"/>
  <c r="I346" i="2"/>
  <c r="L345" i="2"/>
  <c r="K345" i="2" a="1"/>
  <c r="K345" i="2" s="1"/>
  <c r="J345" i="2"/>
  <c r="I345" i="2"/>
  <c r="L344" i="2"/>
  <c r="K344" i="2" a="1"/>
  <c r="K344" i="2" s="1"/>
  <c r="J344" i="2"/>
  <c r="I344" i="2"/>
  <c r="L343" i="2"/>
  <c r="K343" i="2" a="1"/>
  <c r="K343" i="2" s="1"/>
  <c r="J343" i="2"/>
  <c r="I343" i="2"/>
  <c r="L342" i="2"/>
  <c r="K342" i="2" a="1"/>
  <c r="K342" i="2" s="1"/>
  <c r="J342" i="2"/>
  <c r="I342" i="2"/>
  <c r="L341" i="2"/>
  <c r="K341" i="2" a="1"/>
  <c r="K341" i="2" s="1"/>
  <c r="J341" i="2"/>
  <c r="I341" i="2"/>
  <c r="L340" i="2"/>
  <c r="K340" i="2" a="1"/>
  <c r="K340" i="2" s="1"/>
  <c r="J340" i="2"/>
  <c r="I340" i="2"/>
  <c r="L339" i="2"/>
  <c r="K339" i="2" a="1"/>
  <c r="K339" i="2" s="1"/>
  <c r="J339" i="2"/>
  <c r="I339" i="2"/>
  <c r="L338" i="2"/>
  <c r="K338" i="2" a="1"/>
  <c r="K338" i="2" s="1"/>
  <c r="J338" i="2"/>
  <c r="I338" i="2"/>
  <c r="L337" i="2"/>
  <c r="K337" i="2" a="1"/>
  <c r="K337" i="2" s="1"/>
  <c r="J337" i="2"/>
  <c r="I337" i="2"/>
  <c r="L336" i="2"/>
  <c r="K336" i="2" a="1"/>
  <c r="K336" i="2" s="1"/>
  <c r="J336" i="2"/>
  <c r="I336" i="2"/>
  <c r="L335" i="2"/>
  <c r="K335" i="2" a="1"/>
  <c r="K335" i="2" s="1"/>
  <c r="J335" i="2"/>
  <c r="I335" i="2"/>
  <c r="L334" i="2"/>
  <c r="K334" i="2" a="1"/>
  <c r="K334" i="2" s="1"/>
  <c r="J334" i="2"/>
  <c r="I334" i="2"/>
  <c r="L333" i="2"/>
  <c r="K333" i="2" a="1"/>
  <c r="K333" i="2" s="1"/>
  <c r="J333" i="2"/>
  <c r="I333" i="2"/>
  <c r="L332" i="2"/>
  <c r="K332" i="2" a="1"/>
  <c r="K332" i="2" s="1"/>
  <c r="J332" i="2"/>
  <c r="I332" i="2"/>
  <c r="L331" i="2"/>
  <c r="K331" i="2" a="1"/>
  <c r="K331" i="2" s="1"/>
  <c r="J331" i="2"/>
  <c r="I331" i="2"/>
  <c r="L330" i="2"/>
  <c r="K330" i="2" a="1"/>
  <c r="K330" i="2" s="1"/>
  <c r="J330" i="2"/>
  <c r="I330" i="2"/>
  <c r="L329" i="2"/>
  <c r="K329" i="2" a="1"/>
  <c r="K329" i="2" s="1"/>
  <c r="J329" i="2"/>
  <c r="I329" i="2"/>
  <c r="L328" i="2"/>
  <c r="K328" i="2" a="1"/>
  <c r="K328" i="2" s="1"/>
  <c r="J328" i="2"/>
  <c r="I328" i="2"/>
  <c r="L327" i="2"/>
  <c r="K327" i="2" a="1"/>
  <c r="K327" i="2" s="1"/>
  <c r="J327" i="2"/>
  <c r="I327" i="2"/>
  <c r="L326" i="2"/>
  <c r="K326" i="2" a="1"/>
  <c r="K326" i="2" s="1"/>
  <c r="J326" i="2"/>
  <c r="I326" i="2"/>
  <c r="L325" i="2"/>
  <c r="K325" i="2" a="1"/>
  <c r="K325" i="2" s="1"/>
  <c r="J325" i="2"/>
  <c r="I325" i="2"/>
  <c r="L324" i="2"/>
  <c r="K324" i="2" a="1"/>
  <c r="K324" i="2" s="1"/>
  <c r="J324" i="2"/>
  <c r="I324" i="2"/>
  <c r="L323" i="2"/>
  <c r="K323" i="2" a="1"/>
  <c r="K323" i="2" s="1"/>
  <c r="J323" i="2"/>
  <c r="I323" i="2"/>
  <c r="L322" i="2"/>
  <c r="K322" i="2" a="1"/>
  <c r="K322" i="2" s="1"/>
  <c r="J322" i="2"/>
  <c r="I322" i="2"/>
  <c r="L321" i="2"/>
  <c r="K321" i="2" a="1"/>
  <c r="K321" i="2" s="1"/>
  <c r="J321" i="2"/>
  <c r="I321" i="2"/>
  <c r="L320" i="2"/>
  <c r="K320" i="2" a="1"/>
  <c r="K320" i="2" s="1"/>
  <c r="J320" i="2"/>
  <c r="I320" i="2"/>
  <c r="L319" i="2"/>
  <c r="K319" i="2" a="1"/>
  <c r="K319" i="2" s="1"/>
  <c r="J319" i="2"/>
  <c r="I319" i="2"/>
  <c r="L318" i="2"/>
  <c r="K318" i="2" a="1"/>
  <c r="K318" i="2" s="1"/>
  <c r="J318" i="2"/>
  <c r="I318" i="2"/>
  <c r="L317" i="2"/>
  <c r="K317" i="2" a="1"/>
  <c r="K317" i="2" s="1"/>
  <c r="J317" i="2"/>
  <c r="I317" i="2"/>
  <c r="L316" i="2"/>
  <c r="K316" i="2" a="1"/>
  <c r="K316" i="2" s="1"/>
  <c r="J316" i="2"/>
  <c r="I316" i="2"/>
  <c r="L315" i="2"/>
  <c r="K315" i="2" a="1"/>
  <c r="K315" i="2" s="1"/>
  <c r="J315" i="2"/>
  <c r="I315" i="2"/>
  <c r="L314" i="2"/>
  <c r="K314" i="2" a="1"/>
  <c r="K314" i="2" s="1"/>
  <c r="J314" i="2"/>
  <c r="I314" i="2"/>
  <c r="L313" i="2"/>
  <c r="K313" i="2" a="1"/>
  <c r="K313" i="2" s="1"/>
  <c r="J313" i="2"/>
  <c r="I313" i="2"/>
  <c r="L312" i="2"/>
  <c r="K312" i="2" a="1"/>
  <c r="K312" i="2" s="1"/>
  <c r="J312" i="2"/>
  <c r="I312" i="2"/>
  <c r="L311" i="2"/>
  <c r="K311" i="2" a="1"/>
  <c r="K311" i="2" s="1"/>
  <c r="J311" i="2"/>
  <c r="I311" i="2"/>
  <c r="L310" i="2"/>
  <c r="K310" i="2" a="1"/>
  <c r="K310" i="2" s="1"/>
  <c r="J310" i="2"/>
  <c r="I310" i="2"/>
  <c r="L309" i="2"/>
  <c r="K309" i="2" a="1"/>
  <c r="K309" i="2" s="1"/>
  <c r="J309" i="2"/>
  <c r="I309" i="2"/>
  <c r="L308" i="2"/>
  <c r="K308" i="2" a="1"/>
  <c r="K308" i="2" s="1"/>
  <c r="J308" i="2"/>
  <c r="I308" i="2"/>
  <c r="L307" i="2"/>
  <c r="K307" i="2" a="1"/>
  <c r="K307" i="2" s="1"/>
  <c r="J307" i="2"/>
  <c r="I307" i="2"/>
  <c r="L306" i="2"/>
  <c r="K306" i="2" a="1"/>
  <c r="K306" i="2" s="1"/>
  <c r="J306" i="2"/>
  <c r="I306" i="2"/>
  <c r="L305" i="2"/>
  <c r="K305" i="2" a="1"/>
  <c r="K305" i="2" s="1"/>
  <c r="J305" i="2"/>
  <c r="I305" i="2"/>
  <c r="L304" i="2"/>
  <c r="K304" i="2" a="1"/>
  <c r="K304" i="2" s="1"/>
  <c r="J304" i="2"/>
  <c r="I304" i="2"/>
  <c r="L303" i="2"/>
  <c r="K303" i="2" a="1"/>
  <c r="K303" i="2" s="1"/>
  <c r="J303" i="2"/>
  <c r="I303" i="2"/>
  <c r="L302" i="2"/>
  <c r="K302" i="2" a="1"/>
  <c r="K302" i="2" s="1"/>
  <c r="J302" i="2"/>
  <c r="I302" i="2"/>
  <c r="L301" i="2"/>
  <c r="K301" i="2" a="1"/>
  <c r="K301" i="2" s="1"/>
  <c r="J301" i="2"/>
  <c r="I301" i="2"/>
  <c r="L300" i="2"/>
  <c r="K300" i="2" a="1"/>
  <c r="K300" i="2" s="1"/>
  <c r="J300" i="2"/>
  <c r="I300" i="2"/>
  <c r="L299" i="2"/>
  <c r="K299" i="2" a="1"/>
  <c r="K299" i="2" s="1"/>
  <c r="J299" i="2"/>
  <c r="I299" i="2"/>
  <c r="L298" i="2"/>
  <c r="K298" i="2" a="1"/>
  <c r="K298" i="2" s="1"/>
  <c r="J298" i="2"/>
  <c r="I298" i="2"/>
  <c r="L297" i="2"/>
  <c r="K297" i="2" a="1"/>
  <c r="K297" i="2" s="1"/>
  <c r="J297" i="2"/>
  <c r="I297" i="2"/>
  <c r="L296" i="2"/>
  <c r="K296" i="2" a="1"/>
  <c r="K296" i="2" s="1"/>
  <c r="J296" i="2"/>
  <c r="I296" i="2"/>
  <c r="L295" i="2"/>
  <c r="K295" i="2" a="1"/>
  <c r="K295" i="2" s="1"/>
  <c r="J295" i="2"/>
  <c r="I295" i="2"/>
  <c r="L294" i="2"/>
  <c r="K294" i="2" a="1"/>
  <c r="K294" i="2" s="1"/>
  <c r="J294" i="2"/>
  <c r="I294" i="2"/>
  <c r="L293" i="2"/>
  <c r="K293" i="2" a="1"/>
  <c r="K293" i="2" s="1"/>
  <c r="J293" i="2"/>
  <c r="I293" i="2"/>
  <c r="L292" i="2"/>
  <c r="K292" i="2" a="1"/>
  <c r="K292" i="2" s="1"/>
  <c r="J292" i="2"/>
  <c r="I292" i="2"/>
  <c r="L291" i="2"/>
  <c r="K291" i="2" a="1"/>
  <c r="K291" i="2" s="1"/>
  <c r="J291" i="2"/>
  <c r="I291" i="2"/>
  <c r="L290" i="2"/>
  <c r="K290" i="2" a="1"/>
  <c r="K290" i="2" s="1"/>
  <c r="J290" i="2"/>
  <c r="I290" i="2"/>
  <c r="L289" i="2"/>
  <c r="K289" i="2" a="1"/>
  <c r="K289" i="2" s="1"/>
  <c r="J289" i="2"/>
  <c r="I289" i="2"/>
  <c r="L288" i="2"/>
  <c r="K288" i="2" a="1"/>
  <c r="K288" i="2" s="1"/>
  <c r="J288" i="2"/>
  <c r="I288" i="2"/>
  <c r="L287" i="2"/>
  <c r="K287" i="2" a="1"/>
  <c r="K287" i="2" s="1"/>
  <c r="J287" i="2"/>
  <c r="I287" i="2"/>
  <c r="L286" i="2"/>
  <c r="K286" i="2" a="1"/>
  <c r="K286" i="2" s="1"/>
  <c r="J286" i="2"/>
  <c r="I286" i="2"/>
  <c r="L285" i="2"/>
  <c r="K285" i="2" a="1"/>
  <c r="K285" i="2" s="1"/>
  <c r="J285" i="2"/>
  <c r="I285" i="2"/>
  <c r="L284" i="2"/>
  <c r="K284" i="2" a="1"/>
  <c r="K284" i="2" s="1"/>
  <c r="J284" i="2"/>
  <c r="I284" i="2"/>
  <c r="L283" i="2"/>
  <c r="K283" i="2" a="1"/>
  <c r="K283" i="2" s="1"/>
  <c r="J283" i="2"/>
  <c r="I283" i="2"/>
  <c r="L282" i="2"/>
  <c r="K282" i="2" a="1"/>
  <c r="K282" i="2" s="1"/>
  <c r="J282" i="2"/>
  <c r="I282" i="2"/>
  <c r="L281" i="2"/>
  <c r="K281" i="2" a="1"/>
  <c r="K281" i="2" s="1"/>
  <c r="J281" i="2"/>
  <c r="I281" i="2"/>
  <c r="L280" i="2"/>
  <c r="K280" i="2" a="1"/>
  <c r="K280" i="2" s="1"/>
  <c r="J280" i="2"/>
  <c r="I280" i="2"/>
  <c r="L279" i="2"/>
  <c r="K279" i="2" a="1"/>
  <c r="K279" i="2" s="1"/>
  <c r="J279" i="2"/>
  <c r="I279" i="2"/>
  <c r="L278" i="2"/>
  <c r="K278" i="2" a="1"/>
  <c r="K278" i="2" s="1"/>
  <c r="J278" i="2"/>
  <c r="I278" i="2"/>
  <c r="L277" i="2"/>
  <c r="K277" i="2" a="1"/>
  <c r="K277" i="2" s="1"/>
  <c r="J277" i="2"/>
  <c r="I277" i="2"/>
  <c r="L276" i="2"/>
  <c r="K276" i="2" a="1"/>
  <c r="K276" i="2" s="1"/>
  <c r="J276" i="2"/>
  <c r="I276" i="2"/>
  <c r="L275" i="2"/>
  <c r="K275" i="2" a="1"/>
  <c r="K275" i="2" s="1"/>
  <c r="J275" i="2"/>
  <c r="I275" i="2"/>
  <c r="L274" i="2"/>
  <c r="K274" i="2" a="1"/>
  <c r="K274" i="2" s="1"/>
  <c r="J274" i="2"/>
  <c r="I274" i="2"/>
  <c r="L273" i="2"/>
  <c r="K273" i="2" a="1"/>
  <c r="K273" i="2" s="1"/>
  <c r="J273" i="2"/>
  <c r="I273" i="2"/>
  <c r="L272" i="2"/>
  <c r="K272" i="2" a="1"/>
  <c r="K272" i="2" s="1"/>
  <c r="J272" i="2"/>
  <c r="I272" i="2"/>
  <c r="L271" i="2"/>
  <c r="K271" i="2" a="1"/>
  <c r="K271" i="2" s="1"/>
  <c r="J271" i="2"/>
  <c r="I271" i="2"/>
  <c r="L270" i="2"/>
  <c r="K270" i="2" a="1"/>
  <c r="K270" i="2" s="1"/>
  <c r="J270" i="2"/>
  <c r="I270" i="2"/>
  <c r="L269" i="2"/>
  <c r="K269" i="2" a="1"/>
  <c r="K269" i="2" s="1"/>
  <c r="J269" i="2"/>
  <c r="I269" i="2"/>
  <c r="L268" i="2"/>
  <c r="K268" i="2" a="1"/>
  <c r="K268" i="2" s="1"/>
  <c r="J268" i="2"/>
  <c r="I268" i="2"/>
  <c r="L267" i="2"/>
  <c r="K267" i="2" a="1"/>
  <c r="K267" i="2" s="1"/>
  <c r="J267" i="2"/>
  <c r="I267" i="2"/>
  <c r="L266" i="2"/>
  <c r="K266" i="2" a="1"/>
  <c r="K266" i="2" s="1"/>
  <c r="J266" i="2"/>
  <c r="I266" i="2"/>
  <c r="L265" i="2"/>
  <c r="K265" i="2" a="1"/>
  <c r="K265" i="2" s="1"/>
  <c r="J265" i="2"/>
  <c r="I265" i="2"/>
  <c r="L264" i="2"/>
  <c r="K264" i="2" a="1"/>
  <c r="K264" i="2" s="1"/>
  <c r="J264" i="2"/>
  <c r="I264" i="2"/>
  <c r="L263" i="2"/>
  <c r="K263" i="2" a="1"/>
  <c r="K263" i="2" s="1"/>
  <c r="J263" i="2"/>
  <c r="I263" i="2"/>
  <c r="L262" i="2"/>
  <c r="K262" i="2" a="1"/>
  <c r="K262" i="2" s="1"/>
  <c r="J262" i="2"/>
  <c r="I262" i="2"/>
  <c r="L261" i="2"/>
  <c r="K261" i="2" a="1"/>
  <c r="K261" i="2" s="1"/>
  <c r="J261" i="2"/>
  <c r="I261" i="2"/>
  <c r="L260" i="2"/>
  <c r="K260" i="2" a="1"/>
  <c r="K260" i="2" s="1"/>
  <c r="J260" i="2"/>
  <c r="I260" i="2"/>
  <c r="L259" i="2"/>
  <c r="K259" i="2" a="1"/>
  <c r="K259" i="2" s="1"/>
  <c r="J259" i="2"/>
  <c r="I259" i="2"/>
  <c r="L258" i="2"/>
  <c r="K258" i="2" a="1"/>
  <c r="K258" i="2" s="1"/>
  <c r="J258" i="2"/>
  <c r="I258" i="2"/>
  <c r="L257" i="2"/>
  <c r="K257" i="2" a="1"/>
  <c r="K257" i="2" s="1"/>
  <c r="J257" i="2"/>
  <c r="I257" i="2"/>
  <c r="L256" i="2"/>
  <c r="K256" i="2" a="1"/>
  <c r="K256" i="2" s="1"/>
  <c r="J256" i="2"/>
  <c r="I256" i="2"/>
  <c r="L255" i="2"/>
  <c r="K255" i="2" a="1"/>
  <c r="K255" i="2" s="1"/>
  <c r="J255" i="2"/>
  <c r="I255" i="2"/>
  <c r="L254" i="2"/>
  <c r="K254" i="2" a="1"/>
  <c r="K254" i="2" s="1"/>
  <c r="J254" i="2"/>
  <c r="I254" i="2"/>
  <c r="L253" i="2"/>
  <c r="K253" i="2" a="1"/>
  <c r="K253" i="2" s="1"/>
  <c r="J253" i="2"/>
  <c r="I253" i="2"/>
  <c r="L252" i="2"/>
  <c r="K252" i="2" a="1"/>
  <c r="K252" i="2" s="1"/>
  <c r="J252" i="2"/>
  <c r="I252" i="2"/>
  <c r="L251" i="2"/>
  <c r="K251" i="2" a="1"/>
  <c r="K251" i="2" s="1"/>
  <c r="J251" i="2"/>
  <c r="I251" i="2"/>
  <c r="L250" i="2"/>
  <c r="K250" i="2" a="1"/>
  <c r="K250" i="2" s="1"/>
  <c r="J250" i="2"/>
  <c r="I250" i="2"/>
  <c r="L249" i="2"/>
  <c r="K249" i="2" a="1"/>
  <c r="K249" i="2" s="1"/>
  <c r="J249" i="2"/>
  <c r="I249" i="2"/>
  <c r="L248" i="2"/>
  <c r="K248" i="2" a="1"/>
  <c r="K248" i="2" s="1"/>
  <c r="J248" i="2"/>
  <c r="I248" i="2"/>
  <c r="L247" i="2"/>
  <c r="K247" i="2" a="1"/>
  <c r="K247" i="2" s="1"/>
  <c r="J247" i="2"/>
  <c r="I247" i="2"/>
  <c r="L246" i="2"/>
  <c r="K246" i="2" a="1"/>
  <c r="K246" i="2" s="1"/>
  <c r="J246" i="2"/>
  <c r="I246" i="2"/>
  <c r="L245" i="2"/>
  <c r="K245" i="2" a="1"/>
  <c r="K245" i="2" s="1"/>
  <c r="J245" i="2"/>
  <c r="I245" i="2"/>
  <c r="L244" i="2"/>
  <c r="K244" i="2" a="1"/>
  <c r="K244" i="2" s="1"/>
  <c r="J244" i="2"/>
  <c r="I244" i="2"/>
  <c r="L243" i="2"/>
  <c r="K243" i="2" a="1"/>
  <c r="K243" i="2" s="1"/>
  <c r="J243" i="2"/>
  <c r="I243" i="2"/>
  <c r="L242" i="2"/>
  <c r="K242" i="2" a="1"/>
  <c r="K242" i="2" s="1"/>
  <c r="J242" i="2"/>
  <c r="I242" i="2"/>
  <c r="L241" i="2"/>
  <c r="K241" i="2" a="1"/>
  <c r="K241" i="2" s="1"/>
  <c r="J241" i="2"/>
  <c r="I241" i="2"/>
  <c r="L240" i="2"/>
  <c r="K240" i="2" a="1"/>
  <c r="K240" i="2" s="1"/>
  <c r="J240" i="2"/>
  <c r="I240" i="2"/>
  <c r="L239" i="2"/>
  <c r="K239" i="2" a="1"/>
  <c r="K239" i="2" s="1"/>
  <c r="J239" i="2"/>
  <c r="I239" i="2"/>
  <c r="L238" i="2"/>
  <c r="K238" i="2" a="1"/>
  <c r="K238" i="2" s="1"/>
  <c r="J238" i="2"/>
  <c r="I238" i="2"/>
  <c r="L237" i="2"/>
  <c r="K237" i="2" a="1"/>
  <c r="K237" i="2" s="1"/>
  <c r="J237" i="2"/>
  <c r="I237" i="2"/>
  <c r="L236" i="2"/>
  <c r="K236" i="2" a="1"/>
  <c r="K236" i="2" s="1"/>
  <c r="J236" i="2"/>
  <c r="I236" i="2"/>
  <c r="L235" i="2"/>
  <c r="K235" i="2" a="1"/>
  <c r="K235" i="2" s="1"/>
  <c r="J235" i="2"/>
  <c r="I235" i="2"/>
  <c r="L234" i="2"/>
  <c r="K234" i="2" a="1"/>
  <c r="K234" i="2" s="1"/>
  <c r="J234" i="2"/>
  <c r="I234" i="2"/>
  <c r="L233" i="2"/>
  <c r="K233" i="2" a="1"/>
  <c r="K233" i="2" s="1"/>
  <c r="J233" i="2"/>
  <c r="I233" i="2"/>
  <c r="L232" i="2"/>
  <c r="K232" i="2" a="1"/>
  <c r="K232" i="2" s="1"/>
  <c r="J232" i="2"/>
  <c r="I232" i="2"/>
  <c r="L231" i="2"/>
  <c r="K231" i="2" a="1"/>
  <c r="K231" i="2" s="1"/>
  <c r="J231" i="2"/>
  <c r="I231" i="2"/>
  <c r="L230" i="2"/>
  <c r="K230" i="2" a="1"/>
  <c r="K230" i="2" s="1"/>
  <c r="J230" i="2"/>
  <c r="I230" i="2"/>
  <c r="L229" i="2"/>
  <c r="K229" i="2" a="1"/>
  <c r="K229" i="2" s="1"/>
  <c r="J229" i="2"/>
  <c r="I229" i="2"/>
  <c r="L228" i="2"/>
  <c r="K228" i="2" a="1"/>
  <c r="K228" i="2" s="1"/>
  <c r="J228" i="2"/>
  <c r="I228" i="2"/>
  <c r="L227" i="2"/>
  <c r="K227" i="2" a="1"/>
  <c r="K227" i="2" s="1"/>
  <c r="J227" i="2"/>
  <c r="I227" i="2"/>
  <c r="L226" i="2"/>
  <c r="K226" i="2" a="1"/>
  <c r="K226" i="2" s="1"/>
  <c r="J226" i="2"/>
  <c r="I226" i="2"/>
  <c r="L225" i="2"/>
  <c r="K225" i="2" a="1"/>
  <c r="K225" i="2" s="1"/>
  <c r="J225" i="2"/>
  <c r="I225" i="2"/>
  <c r="L224" i="2"/>
  <c r="K224" i="2" a="1"/>
  <c r="K224" i="2" s="1"/>
  <c r="J224" i="2"/>
  <c r="I224" i="2"/>
  <c r="L223" i="2"/>
  <c r="K223" i="2" a="1"/>
  <c r="K223" i="2" s="1"/>
  <c r="J223" i="2"/>
  <c r="I223" i="2"/>
  <c r="L222" i="2"/>
  <c r="K222" i="2" a="1"/>
  <c r="K222" i="2" s="1"/>
  <c r="J222" i="2"/>
  <c r="I222" i="2"/>
  <c r="L221" i="2"/>
  <c r="K221" i="2" a="1"/>
  <c r="K221" i="2" s="1"/>
  <c r="J221" i="2"/>
  <c r="I221" i="2"/>
  <c r="L220" i="2"/>
  <c r="K220" i="2" a="1"/>
  <c r="K220" i="2" s="1"/>
  <c r="J220" i="2"/>
  <c r="I220" i="2"/>
  <c r="L219" i="2"/>
  <c r="K219" i="2" a="1"/>
  <c r="K219" i="2" s="1"/>
  <c r="J219" i="2"/>
  <c r="I219" i="2"/>
  <c r="L218" i="2"/>
  <c r="K218" i="2" a="1"/>
  <c r="K218" i="2" s="1"/>
  <c r="J218" i="2"/>
  <c r="I218" i="2"/>
  <c r="L217" i="2"/>
  <c r="K217" i="2" a="1"/>
  <c r="K217" i="2" s="1"/>
  <c r="J217" i="2"/>
  <c r="I217" i="2"/>
  <c r="L216" i="2"/>
  <c r="K216" i="2" a="1"/>
  <c r="K216" i="2" s="1"/>
  <c r="J216" i="2"/>
  <c r="I216" i="2"/>
  <c r="L215" i="2"/>
  <c r="K215" i="2" a="1"/>
  <c r="K215" i="2" s="1"/>
  <c r="J215" i="2"/>
  <c r="I215" i="2"/>
  <c r="L214" i="2"/>
  <c r="K214" i="2" a="1"/>
  <c r="K214" i="2" s="1"/>
  <c r="J214" i="2"/>
  <c r="I214" i="2"/>
  <c r="L213" i="2"/>
  <c r="K213" i="2" a="1"/>
  <c r="K213" i="2" s="1"/>
  <c r="J213" i="2"/>
  <c r="I213" i="2"/>
  <c r="L212" i="2"/>
  <c r="K212" i="2" a="1"/>
  <c r="K212" i="2" s="1"/>
  <c r="J212" i="2"/>
  <c r="I212" i="2"/>
  <c r="L211" i="2"/>
  <c r="K211" i="2" a="1"/>
  <c r="K211" i="2" s="1"/>
  <c r="J211" i="2"/>
  <c r="I211" i="2"/>
  <c r="L210" i="2"/>
  <c r="K210" i="2" a="1"/>
  <c r="K210" i="2" s="1"/>
  <c r="J210" i="2"/>
  <c r="I210" i="2"/>
  <c r="L209" i="2"/>
  <c r="K209" i="2" a="1"/>
  <c r="K209" i="2" s="1"/>
  <c r="J209" i="2"/>
  <c r="I209" i="2"/>
  <c r="L208" i="2"/>
  <c r="K208" i="2" a="1"/>
  <c r="K208" i="2" s="1"/>
  <c r="J208" i="2"/>
  <c r="I208" i="2"/>
  <c r="L207" i="2"/>
  <c r="K207" i="2" a="1"/>
  <c r="K207" i="2" s="1"/>
  <c r="J207" i="2"/>
  <c r="I207" i="2"/>
  <c r="L206" i="2"/>
  <c r="K206" i="2" a="1"/>
  <c r="K206" i="2" s="1"/>
  <c r="J206" i="2"/>
  <c r="I206" i="2"/>
  <c r="L205" i="2"/>
  <c r="K205" i="2" a="1"/>
  <c r="K205" i="2" s="1"/>
  <c r="J205" i="2"/>
  <c r="I205" i="2"/>
  <c r="L204" i="2"/>
  <c r="K204" i="2" a="1"/>
  <c r="K204" i="2" s="1"/>
  <c r="J204" i="2"/>
  <c r="I204" i="2"/>
  <c r="L203" i="2"/>
  <c r="K203" i="2" a="1"/>
  <c r="K203" i="2" s="1"/>
  <c r="J203" i="2"/>
  <c r="I203" i="2"/>
  <c r="L202" i="2"/>
  <c r="K202" i="2" a="1"/>
  <c r="K202" i="2" s="1"/>
  <c r="J202" i="2"/>
  <c r="I202" i="2"/>
  <c r="L201" i="2"/>
  <c r="K201" i="2" a="1"/>
  <c r="K201" i="2" s="1"/>
  <c r="J201" i="2"/>
  <c r="I201" i="2"/>
  <c r="L200" i="2"/>
  <c r="K200" i="2" a="1"/>
  <c r="K200" i="2" s="1"/>
  <c r="J200" i="2"/>
  <c r="I200" i="2"/>
  <c r="L199" i="2"/>
  <c r="K199" i="2" a="1"/>
  <c r="K199" i="2" s="1"/>
  <c r="J199" i="2"/>
  <c r="I199" i="2"/>
  <c r="L198" i="2"/>
  <c r="K198" i="2" a="1"/>
  <c r="K198" i="2" s="1"/>
  <c r="J198" i="2"/>
  <c r="I198" i="2"/>
  <c r="L197" i="2"/>
  <c r="K197" i="2" a="1"/>
  <c r="K197" i="2" s="1"/>
  <c r="J197" i="2"/>
  <c r="I197" i="2"/>
  <c r="L196" i="2"/>
  <c r="K196" i="2" a="1"/>
  <c r="K196" i="2" s="1"/>
  <c r="J196" i="2"/>
  <c r="I196" i="2"/>
  <c r="L195" i="2"/>
  <c r="K195" i="2" a="1"/>
  <c r="K195" i="2" s="1"/>
  <c r="J195" i="2"/>
  <c r="I195" i="2"/>
  <c r="L194" i="2"/>
  <c r="K194" i="2" a="1"/>
  <c r="K194" i="2" s="1"/>
  <c r="J194" i="2"/>
  <c r="I194" i="2"/>
  <c r="L193" i="2"/>
  <c r="K193" i="2" a="1"/>
  <c r="K193" i="2" s="1"/>
  <c r="J193" i="2"/>
  <c r="I193" i="2"/>
  <c r="L192" i="2"/>
  <c r="K192" i="2" a="1"/>
  <c r="K192" i="2" s="1"/>
  <c r="J192" i="2"/>
  <c r="I192" i="2"/>
  <c r="L191" i="2"/>
  <c r="K191" i="2" a="1"/>
  <c r="K191" i="2" s="1"/>
  <c r="J191" i="2"/>
  <c r="I191" i="2"/>
  <c r="L190" i="2"/>
  <c r="K190" i="2" a="1"/>
  <c r="K190" i="2" s="1"/>
  <c r="J190" i="2"/>
  <c r="I190" i="2"/>
  <c r="L189" i="2"/>
  <c r="K189" i="2" a="1"/>
  <c r="K189" i="2" s="1"/>
  <c r="J189" i="2"/>
  <c r="I189" i="2"/>
  <c r="L188" i="2"/>
  <c r="K188" i="2" a="1"/>
  <c r="K188" i="2" s="1"/>
  <c r="J188" i="2"/>
  <c r="I188" i="2"/>
  <c r="L187" i="2"/>
  <c r="K187" i="2" a="1"/>
  <c r="K187" i="2" s="1"/>
  <c r="J187" i="2"/>
  <c r="I187" i="2"/>
  <c r="L186" i="2"/>
  <c r="K186" i="2" a="1"/>
  <c r="K186" i="2" s="1"/>
  <c r="J186" i="2"/>
  <c r="I186" i="2"/>
  <c r="L185" i="2"/>
  <c r="K185" i="2" a="1"/>
  <c r="K185" i="2" s="1"/>
  <c r="J185" i="2"/>
  <c r="I185" i="2"/>
  <c r="L184" i="2"/>
  <c r="K184" i="2" a="1"/>
  <c r="K184" i="2" s="1"/>
  <c r="J184" i="2"/>
  <c r="I184" i="2"/>
  <c r="L183" i="2"/>
  <c r="K183" i="2" a="1"/>
  <c r="K183" i="2" s="1"/>
  <c r="J183" i="2"/>
  <c r="I183" i="2"/>
  <c r="L182" i="2"/>
  <c r="K182" i="2" a="1"/>
  <c r="K182" i="2" s="1"/>
  <c r="J182" i="2"/>
  <c r="I182" i="2"/>
  <c r="L181" i="2"/>
  <c r="K181" i="2" a="1"/>
  <c r="K181" i="2" s="1"/>
  <c r="J181" i="2"/>
  <c r="I181" i="2"/>
  <c r="L180" i="2"/>
  <c r="K180" i="2" a="1"/>
  <c r="K180" i="2" s="1"/>
  <c r="J180" i="2"/>
  <c r="I180" i="2"/>
  <c r="L179" i="2"/>
  <c r="K179" i="2" a="1"/>
  <c r="K179" i="2" s="1"/>
  <c r="J179" i="2"/>
  <c r="I179" i="2"/>
  <c r="L178" i="2"/>
  <c r="K178" i="2" a="1"/>
  <c r="K178" i="2" s="1"/>
  <c r="J178" i="2"/>
  <c r="I178" i="2"/>
  <c r="L177" i="2"/>
  <c r="K177" i="2" a="1"/>
  <c r="K177" i="2" s="1"/>
  <c r="J177" i="2"/>
  <c r="I177" i="2"/>
  <c r="L176" i="2"/>
  <c r="K176" i="2" a="1"/>
  <c r="K176" i="2" s="1"/>
  <c r="J176" i="2"/>
  <c r="I176" i="2"/>
  <c r="L175" i="2"/>
  <c r="K175" i="2" a="1"/>
  <c r="K175" i="2" s="1"/>
  <c r="J175" i="2"/>
  <c r="I175" i="2"/>
  <c r="L174" i="2"/>
  <c r="K174" i="2" a="1"/>
  <c r="K174" i="2" s="1"/>
  <c r="J174" i="2"/>
  <c r="I174" i="2"/>
  <c r="L173" i="2"/>
  <c r="K173" i="2" a="1"/>
  <c r="K173" i="2" s="1"/>
  <c r="J173" i="2"/>
  <c r="I173" i="2"/>
  <c r="L172" i="2"/>
  <c r="K172" i="2" a="1"/>
  <c r="K172" i="2" s="1"/>
  <c r="J172" i="2"/>
  <c r="I172" i="2"/>
  <c r="L171" i="2"/>
  <c r="K171" i="2" a="1"/>
  <c r="K171" i="2" s="1"/>
  <c r="J171" i="2"/>
  <c r="I171" i="2"/>
  <c r="L170" i="2"/>
  <c r="K170" i="2" a="1"/>
  <c r="K170" i="2" s="1"/>
  <c r="J170" i="2"/>
  <c r="I170" i="2"/>
  <c r="L169" i="2"/>
  <c r="K169" i="2" a="1"/>
  <c r="K169" i="2" s="1"/>
  <c r="J169" i="2"/>
  <c r="I169" i="2"/>
  <c r="L168" i="2"/>
  <c r="K168" i="2" a="1"/>
  <c r="K168" i="2" s="1"/>
  <c r="J168" i="2"/>
  <c r="I168" i="2"/>
  <c r="L167" i="2"/>
  <c r="K167" i="2" a="1"/>
  <c r="K167" i="2" s="1"/>
  <c r="J167" i="2"/>
  <c r="I167" i="2"/>
  <c r="L166" i="2"/>
  <c r="K166" i="2" a="1"/>
  <c r="K166" i="2" s="1"/>
  <c r="J166" i="2"/>
  <c r="I166" i="2"/>
  <c r="L165" i="2"/>
  <c r="K165" i="2" a="1"/>
  <c r="K165" i="2" s="1"/>
  <c r="J165" i="2"/>
  <c r="I165" i="2"/>
  <c r="L164" i="2"/>
  <c r="K164" i="2" a="1"/>
  <c r="K164" i="2" s="1"/>
  <c r="J164" i="2"/>
  <c r="I164" i="2"/>
  <c r="L163" i="2"/>
  <c r="K163" i="2" a="1"/>
  <c r="K163" i="2" s="1"/>
  <c r="J163" i="2"/>
  <c r="I163" i="2"/>
  <c r="L162" i="2"/>
  <c r="K162" i="2" a="1"/>
  <c r="K162" i="2" s="1"/>
  <c r="J162" i="2"/>
  <c r="I162" i="2"/>
  <c r="L161" i="2"/>
  <c r="K161" i="2" a="1"/>
  <c r="K161" i="2" s="1"/>
  <c r="J161" i="2"/>
  <c r="I161" i="2"/>
  <c r="L160" i="2"/>
  <c r="K160" i="2" a="1"/>
  <c r="K160" i="2" s="1"/>
  <c r="J160" i="2"/>
  <c r="I160" i="2"/>
  <c r="L159" i="2"/>
  <c r="K159" i="2" a="1"/>
  <c r="K159" i="2" s="1"/>
  <c r="J159" i="2"/>
  <c r="I159" i="2"/>
  <c r="L158" i="2"/>
  <c r="K158" i="2" a="1"/>
  <c r="K158" i="2" s="1"/>
  <c r="J158" i="2"/>
  <c r="I158" i="2"/>
  <c r="L157" i="2"/>
  <c r="K157" i="2" a="1"/>
  <c r="K157" i="2" s="1"/>
  <c r="J157" i="2"/>
  <c r="I157" i="2"/>
  <c r="L156" i="2"/>
  <c r="K156" i="2" a="1"/>
  <c r="K156" i="2" s="1"/>
  <c r="J156" i="2"/>
  <c r="I156" i="2"/>
  <c r="L155" i="2"/>
  <c r="K155" i="2" a="1"/>
  <c r="K155" i="2" s="1"/>
  <c r="J155" i="2"/>
  <c r="I155" i="2"/>
  <c r="L154" i="2"/>
  <c r="K154" i="2" a="1"/>
  <c r="K154" i="2" s="1"/>
  <c r="J154" i="2"/>
  <c r="I154" i="2"/>
  <c r="L153" i="2"/>
  <c r="K153" i="2" a="1"/>
  <c r="K153" i="2" s="1"/>
  <c r="J153" i="2"/>
  <c r="I153" i="2"/>
  <c r="L152" i="2"/>
  <c r="K152" i="2" a="1"/>
  <c r="K152" i="2" s="1"/>
  <c r="J152" i="2"/>
  <c r="I152" i="2"/>
  <c r="L151" i="2"/>
  <c r="K151" i="2" a="1"/>
  <c r="K151" i="2" s="1"/>
  <c r="J151" i="2"/>
  <c r="I151" i="2"/>
  <c r="L150" i="2"/>
  <c r="K150" i="2" a="1"/>
  <c r="K150" i="2" s="1"/>
  <c r="J150" i="2"/>
  <c r="I150" i="2"/>
  <c r="L149" i="2"/>
  <c r="K149" i="2" a="1"/>
  <c r="K149" i="2" s="1"/>
  <c r="J149" i="2"/>
  <c r="I149" i="2"/>
  <c r="L148" i="2"/>
  <c r="K148" i="2" a="1"/>
  <c r="K148" i="2" s="1"/>
  <c r="J148" i="2"/>
  <c r="I148" i="2"/>
  <c r="L147" i="2"/>
  <c r="K147" i="2" a="1"/>
  <c r="K147" i="2" s="1"/>
  <c r="J147" i="2"/>
  <c r="I147" i="2"/>
  <c r="L146" i="2"/>
  <c r="K146" i="2" a="1"/>
  <c r="K146" i="2" s="1"/>
  <c r="J146" i="2"/>
  <c r="I146" i="2"/>
  <c r="L145" i="2"/>
  <c r="K145" i="2" a="1"/>
  <c r="K145" i="2" s="1"/>
  <c r="J145" i="2"/>
  <c r="I145" i="2"/>
  <c r="L144" i="2"/>
  <c r="K144" i="2" a="1"/>
  <c r="K144" i="2" s="1"/>
  <c r="J144" i="2"/>
  <c r="I144" i="2"/>
  <c r="L143" i="2"/>
  <c r="K143" i="2" a="1"/>
  <c r="K143" i="2" s="1"/>
  <c r="J143" i="2"/>
  <c r="I143" i="2"/>
  <c r="L142" i="2"/>
  <c r="K142" i="2" a="1"/>
  <c r="K142" i="2" s="1"/>
  <c r="J142" i="2"/>
  <c r="I142" i="2"/>
  <c r="L141" i="2"/>
  <c r="K141" i="2" a="1"/>
  <c r="K141" i="2" s="1"/>
  <c r="J141" i="2"/>
  <c r="I141" i="2"/>
  <c r="L140" i="2"/>
  <c r="K140" i="2" a="1"/>
  <c r="K140" i="2" s="1"/>
  <c r="J140" i="2"/>
  <c r="I140" i="2"/>
  <c r="L139" i="2"/>
  <c r="K139" i="2" a="1"/>
  <c r="K139" i="2" s="1"/>
  <c r="J139" i="2"/>
  <c r="I139" i="2"/>
  <c r="L138" i="2"/>
  <c r="K138" i="2" a="1"/>
  <c r="K138" i="2" s="1"/>
  <c r="J138" i="2"/>
  <c r="I138" i="2"/>
  <c r="L137" i="2"/>
  <c r="K137" i="2" a="1"/>
  <c r="K137" i="2" s="1"/>
  <c r="J137" i="2"/>
  <c r="I137" i="2"/>
  <c r="L136" i="2"/>
  <c r="K136" i="2" a="1"/>
  <c r="K136" i="2" s="1"/>
  <c r="J136" i="2"/>
  <c r="I136" i="2"/>
  <c r="L135" i="2"/>
  <c r="K135" i="2" a="1"/>
  <c r="K135" i="2" s="1"/>
  <c r="J135" i="2"/>
  <c r="I135" i="2"/>
  <c r="L134" i="2"/>
  <c r="K134" i="2" a="1"/>
  <c r="K134" i="2" s="1"/>
  <c r="J134" i="2"/>
  <c r="I134" i="2"/>
  <c r="L133" i="2"/>
  <c r="K133" i="2" a="1"/>
  <c r="K133" i="2" s="1"/>
  <c r="J133" i="2"/>
  <c r="I133" i="2"/>
  <c r="L132" i="2"/>
  <c r="K132" i="2" a="1"/>
  <c r="K132" i="2" s="1"/>
  <c r="J132" i="2"/>
  <c r="I132" i="2"/>
  <c r="L131" i="2"/>
  <c r="K131" i="2" a="1"/>
  <c r="K131" i="2" s="1"/>
  <c r="J131" i="2"/>
  <c r="I131" i="2"/>
  <c r="L130" i="2"/>
  <c r="K130" i="2" a="1"/>
  <c r="K130" i="2" s="1"/>
  <c r="J130" i="2"/>
  <c r="I130" i="2"/>
  <c r="L129" i="2"/>
  <c r="K129" i="2" a="1"/>
  <c r="K129" i="2" s="1"/>
  <c r="J129" i="2"/>
  <c r="I129" i="2"/>
  <c r="L128" i="2"/>
  <c r="K128" i="2" a="1"/>
  <c r="K128" i="2" s="1"/>
  <c r="J128" i="2"/>
  <c r="I128" i="2"/>
  <c r="L127" i="2"/>
  <c r="K127" i="2" a="1"/>
  <c r="K127" i="2" s="1"/>
  <c r="J127" i="2"/>
  <c r="I127" i="2"/>
  <c r="L126" i="2"/>
  <c r="K126" i="2" a="1"/>
  <c r="K126" i="2" s="1"/>
  <c r="J126" i="2"/>
  <c r="I126" i="2"/>
  <c r="L125" i="2"/>
  <c r="K125" i="2" a="1"/>
  <c r="K125" i="2" s="1"/>
  <c r="J125" i="2"/>
  <c r="I125" i="2"/>
  <c r="L124" i="2"/>
  <c r="K124" i="2" a="1"/>
  <c r="K124" i="2" s="1"/>
  <c r="J124" i="2"/>
  <c r="I124" i="2"/>
  <c r="L123" i="2"/>
  <c r="K123" i="2" a="1"/>
  <c r="K123" i="2" s="1"/>
  <c r="J123" i="2"/>
  <c r="I123" i="2"/>
  <c r="L122" i="2"/>
  <c r="K122" i="2" a="1"/>
  <c r="K122" i="2" s="1"/>
  <c r="J122" i="2"/>
  <c r="I122" i="2"/>
  <c r="L121" i="2"/>
  <c r="K121" i="2" a="1"/>
  <c r="K121" i="2" s="1"/>
  <c r="J121" i="2"/>
  <c r="I121" i="2"/>
  <c r="L120" i="2"/>
  <c r="K120" i="2" a="1"/>
  <c r="K120" i="2" s="1"/>
  <c r="J120" i="2"/>
  <c r="I120" i="2"/>
  <c r="L119" i="2"/>
  <c r="K119" i="2" a="1"/>
  <c r="K119" i="2" s="1"/>
  <c r="J119" i="2"/>
  <c r="I119" i="2"/>
  <c r="L118" i="2"/>
  <c r="K118" i="2" a="1"/>
  <c r="K118" i="2" s="1"/>
  <c r="J118" i="2"/>
  <c r="I118" i="2"/>
  <c r="L117" i="2"/>
  <c r="K117" i="2" a="1"/>
  <c r="K117" i="2" s="1"/>
  <c r="J117" i="2"/>
  <c r="I117" i="2"/>
  <c r="L116" i="2"/>
  <c r="K116" i="2" a="1"/>
  <c r="K116" i="2" s="1"/>
  <c r="J116" i="2"/>
  <c r="I116" i="2"/>
  <c r="L115" i="2"/>
  <c r="K115" i="2" a="1"/>
  <c r="K115" i="2" s="1"/>
  <c r="J115" i="2"/>
  <c r="I115" i="2"/>
  <c r="L114" i="2"/>
  <c r="K114" i="2" a="1"/>
  <c r="K114" i="2" s="1"/>
  <c r="J114" i="2"/>
  <c r="I114" i="2"/>
  <c r="L113" i="2"/>
  <c r="K113" i="2" a="1"/>
  <c r="K113" i="2" s="1"/>
  <c r="J113" i="2"/>
  <c r="I113" i="2"/>
  <c r="L112" i="2"/>
  <c r="K112" i="2" a="1"/>
  <c r="K112" i="2" s="1"/>
  <c r="J112" i="2"/>
  <c r="I112" i="2"/>
  <c r="L111" i="2"/>
  <c r="K111" i="2" a="1"/>
  <c r="K111" i="2" s="1"/>
  <c r="J111" i="2"/>
  <c r="I111" i="2"/>
  <c r="L110" i="2"/>
  <c r="K110" i="2" a="1"/>
  <c r="K110" i="2" s="1"/>
  <c r="J110" i="2"/>
  <c r="I110" i="2"/>
  <c r="L109" i="2"/>
  <c r="K109" i="2" a="1"/>
  <c r="K109" i="2" s="1"/>
  <c r="J109" i="2"/>
  <c r="I109" i="2"/>
  <c r="L108" i="2"/>
  <c r="K108" i="2" a="1"/>
  <c r="K108" i="2" s="1"/>
  <c r="J108" i="2"/>
  <c r="I108" i="2"/>
  <c r="L107" i="2"/>
  <c r="K107" i="2" a="1"/>
  <c r="K107" i="2" s="1"/>
  <c r="J107" i="2"/>
  <c r="I107" i="2"/>
  <c r="L106" i="2"/>
  <c r="K106" i="2" a="1"/>
  <c r="K106" i="2" s="1"/>
  <c r="J106" i="2"/>
  <c r="I106" i="2"/>
  <c r="L105" i="2"/>
  <c r="K105" i="2" a="1"/>
  <c r="K105" i="2" s="1"/>
  <c r="J105" i="2"/>
  <c r="I105" i="2"/>
  <c r="L104" i="2"/>
  <c r="K104" i="2" a="1"/>
  <c r="K104" i="2" s="1"/>
  <c r="J104" i="2"/>
  <c r="I104" i="2"/>
  <c r="L103" i="2"/>
  <c r="K103" i="2" a="1"/>
  <c r="K103" i="2" s="1"/>
  <c r="J103" i="2"/>
  <c r="I103" i="2"/>
  <c r="L102" i="2"/>
  <c r="K102" i="2" a="1"/>
  <c r="K102" i="2" s="1"/>
  <c r="J102" i="2"/>
  <c r="I102" i="2"/>
  <c r="L101" i="2"/>
  <c r="K101" i="2" a="1"/>
  <c r="K101" i="2" s="1"/>
  <c r="J101" i="2"/>
  <c r="I101" i="2"/>
  <c r="L100" i="2"/>
  <c r="K100" i="2" a="1"/>
  <c r="K100" i="2" s="1"/>
  <c r="J100" i="2"/>
  <c r="I100" i="2"/>
  <c r="L99" i="2"/>
  <c r="K99" i="2" a="1"/>
  <c r="K99" i="2" s="1"/>
  <c r="J99" i="2"/>
  <c r="I99" i="2"/>
  <c r="L98" i="2"/>
  <c r="K98" i="2" a="1"/>
  <c r="K98" i="2" s="1"/>
  <c r="J98" i="2"/>
  <c r="I98" i="2"/>
  <c r="L97" i="2"/>
  <c r="K97" i="2" a="1"/>
  <c r="K97" i="2" s="1"/>
  <c r="J97" i="2"/>
  <c r="I97" i="2"/>
  <c r="L96" i="2"/>
  <c r="K96" i="2" a="1"/>
  <c r="K96" i="2" s="1"/>
  <c r="J96" i="2"/>
  <c r="I96" i="2"/>
  <c r="L95" i="2"/>
  <c r="K95" i="2" a="1"/>
  <c r="K95" i="2" s="1"/>
  <c r="J95" i="2"/>
  <c r="I95" i="2"/>
  <c r="L94" i="2"/>
  <c r="K94" i="2" a="1"/>
  <c r="K94" i="2" s="1"/>
  <c r="J94" i="2"/>
  <c r="I94" i="2"/>
  <c r="L93" i="2"/>
  <c r="K93" i="2" a="1"/>
  <c r="K93" i="2" s="1"/>
  <c r="J93" i="2"/>
  <c r="I93" i="2"/>
  <c r="L92" i="2"/>
  <c r="K92" i="2" a="1"/>
  <c r="K92" i="2" s="1"/>
  <c r="J92" i="2"/>
  <c r="I92" i="2"/>
  <c r="L91" i="2"/>
  <c r="K91" i="2" a="1"/>
  <c r="K91" i="2" s="1"/>
  <c r="J91" i="2"/>
  <c r="I91" i="2"/>
  <c r="L90" i="2"/>
  <c r="K90" i="2" a="1"/>
  <c r="K90" i="2" s="1"/>
  <c r="J90" i="2"/>
  <c r="I90" i="2"/>
  <c r="L89" i="2"/>
  <c r="K89" i="2" a="1"/>
  <c r="K89" i="2" s="1"/>
  <c r="J89" i="2"/>
  <c r="I89" i="2"/>
  <c r="L88" i="2"/>
  <c r="K88" i="2" a="1"/>
  <c r="K88" i="2" s="1"/>
  <c r="J88" i="2"/>
  <c r="I88" i="2"/>
  <c r="L87" i="2"/>
  <c r="K87" i="2" a="1"/>
  <c r="K87" i="2" s="1"/>
  <c r="J87" i="2"/>
  <c r="I87" i="2"/>
  <c r="L86" i="2"/>
  <c r="K86" i="2" a="1"/>
  <c r="K86" i="2" s="1"/>
  <c r="J86" i="2"/>
  <c r="I86" i="2"/>
  <c r="L85" i="2"/>
  <c r="K85" i="2" a="1"/>
  <c r="K85" i="2" s="1"/>
  <c r="J85" i="2"/>
  <c r="I85" i="2"/>
  <c r="L84" i="2"/>
  <c r="K84" i="2" a="1"/>
  <c r="K84" i="2" s="1"/>
  <c r="J84" i="2"/>
  <c r="I84" i="2"/>
  <c r="L83" i="2"/>
  <c r="K83" i="2" a="1"/>
  <c r="K83" i="2" s="1"/>
  <c r="J83" i="2"/>
  <c r="I83" i="2"/>
  <c r="L82" i="2"/>
  <c r="K82" i="2" a="1"/>
  <c r="K82" i="2" s="1"/>
  <c r="J82" i="2"/>
  <c r="I82" i="2"/>
  <c r="L81" i="2"/>
  <c r="K81" i="2" a="1"/>
  <c r="K81" i="2" s="1"/>
  <c r="J81" i="2"/>
  <c r="I81" i="2"/>
  <c r="L80" i="2"/>
  <c r="K80" i="2" a="1"/>
  <c r="K80" i="2" s="1"/>
  <c r="J80" i="2"/>
  <c r="I80" i="2"/>
  <c r="L79" i="2"/>
  <c r="K79" i="2" a="1"/>
  <c r="K79" i="2" s="1"/>
  <c r="J79" i="2"/>
  <c r="I79" i="2"/>
  <c r="L78" i="2"/>
  <c r="K78" i="2" a="1"/>
  <c r="K78" i="2" s="1"/>
  <c r="J78" i="2"/>
  <c r="I78" i="2"/>
  <c r="L77" i="2"/>
  <c r="K77" i="2" a="1"/>
  <c r="K77" i="2" s="1"/>
  <c r="J77" i="2"/>
  <c r="I77" i="2"/>
  <c r="L76" i="2"/>
  <c r="K76" i="2" a="1"/>
  <c r="K76" i="2" s="1"/>
  <c r="J76" i="2"/>
  <c r="I76" i="2"/>
  <c r="L75" i="2"/>
  <c r="K75" i="2" a="1"/>
  <c r="K75" i="2" s="1"/>
  <c r="J75" i="2"/>
  <c r="I75" i="2"/>
  <c r="L74" i="2"/>
  <c r="K74" i="2" a="1"/>
  <c r="K74" i="2" s="1"/>
  <c r="J74" i="2"/>
  <c r="I74" i="2"/>
  <c r="L73" i="2"/>
  <c r="K73" i="2" a="1"/>
  <c r="K73" i="2" s="1"/>
  <c r="J73" i="2"/>
  <c r="I73" i="2"/>
  <c r="L72" i="2"/>
  <c r="K72" i="2" a="1"/>
  <c r="K72" i="2" s="1"/>
  <c r="J72" i="2"/>
  <c r="I72" i="2"/>
  <c r="L71" i="2"/>
  <c r="K71" i="2" a="1"/>
  <c r="K71" i="2" s="1"/>
  <c r="J71" i="2"/>
  <c r="I71" i="2"/>
  <c r="L70" i="2"/>
  <c r="K70" i="2" a="1"/>
  <c r="K70" i="2" s="1"/>
  <c r="J70" i="2"/>
  <c r="I70" i="2"/>
  <c r="L69" i="2"/>
  <c r="K69" i="2" a="1"/>
  <c r="K69" i="2" s="1"/>
  <c r="J69" i="2"/>
  <c r="I69" i="2"/>
  <c r="L68" i="2"/>
  <c r="K68" i="2" a="1"/>
  <c r="K68" i="2" s="1"/>
  <c r="J68" i="2"/>
  <c r="I68" i="2"/>
  <c r="L67" i="2"/>
  <c r="K67" i="2" a="1"/>
  <c r="K67" i="2" s="1"/>
  <c r="J67" i="2"/>
  <c r="I67" i="2"/>
  <c r="L66" i="2"/>
  <c r="K66" i="2" a="1"/>
  <c r="K66" i="2" s="1"/>
  <c r="J66" i="2"/>
  <c r="I66" i="2"/>
  <c r="L65" i="2"/>
  <c r="K65" i="2" a="1"/>
  <c r="K65" i="2" s="1"/>
  <c r="J65" i="2"/>
  <c r="I65" i="2"/>
  <c r="L64" i="2"/>
  <c r="K64" i="2" a="1"/>
  <c r="K64" i="2" s="1"/>
  <c r="J64" i="2"/>
  <c r="I64" i="2"/>
  <c r="L63" i="2"/>
  <c r="K63" i="2" a="1"/>
  <c r="K63" i="2" s="1"/>
  <c r="J63" i="2"/>
  <c r="I63" i="2"/>
  <c r="L62" i="2"/>
  <c r="K62" i="2" a="1"/>
  <c r="K62" i="2" s="1"/>
  <c r="J62" i="2"/>
  <c r="I62" i="2"/>
  <c r="L61" i="2"/>
  <c r="K61" i="2" a="1"/>
  <c r="K61" i="2" s="1"/>
  <c r="J61" i="2"/>
  <c r="I61" i="2"/>
  <c r="L60" i="2"/>
  <c r="K60" i="2" a="1"/>
  <c r="K60" i="2" s="1"/>
  <c r="J60" i="2"/>
  <c r="I60" i="2"/>
  <c r="L59" i="2"/>
  <c r="K59" i="2" a="1"/>
  <c r="K59" i="2" s="1"/>
  <c r="J59" i="2"/>
  <c r="I59" i="2"/>
  <c r="L58" i="2"/>
  <c r="K58" i="2" a="1"/>
  <c r="K58" i="2" s="1"/>
  <c r="J58" i="2"/>
  <c r="I58" i="2"/>
  <c r="L57" i="2"/>
  <c r="K57" i="2" a="1"/>
  <c r="K57" i="2" s="1"/>
  <c r="J57" i="2"/>
  <c r="I57" i="2"/>
  <c r="L56" i="2"/>
  <c r="K56" i="2" a="1"/>
  <c r="K56" i="2" s="1"/>
  <c r="J56" i="2"/>
  <c r="I56" i="2"/>
  <c r="L55" i="2"/>
  <c r="K55" i="2" a="1"/>
  <c r="K55" i="2" s="1"/>
  <c r="J55" i="2"/>
  <c r="I55" i="2"/>
  <c r="L54" i="2"/>
  <c r="K54" i="2" a="1"/>
  <c r="K54" i="2" s="1"/>
  <c r="J54" i="2"/>
  <c r="I54" i="2"/>
  <c r="L53" i="2"/>
  <c r="K53" i="2" a="1"/>
  <c r="K53" i="2" s="1"/>
  <c r="J53" i="2"/>
  <c r="I53" i="2"/>
  <c r="L52" i="2"/>
  <c r="K52" i="2" a="1"/>
  <c r="K52" i="2" s="1"/>
  <c r="J52" i="2"/>
  <c r="I52" i="2"/>
  <c r="L51" i="2"/>
  <c r="K51" i="2" a="1"/>
  <c r="K51" i="2" s="1"/>
  <c r="J51" i="2"/>
  <c r="I51" i="2"/>
  <c r="L50" i="2"/>
  <c r="K50" i="2" a="1"/>
  <c r="K50" i="2" s="1"/>
  <c r="J50" i="2"/>
  <c r="I50" i="2"/>
  <c r="L49" i="2"/>
  <c r="K49" i="2" a="1"/>
  <c r="K49" i="2" s="1"/>
  <c r="J49" i="2"/>
  <c r="I49" i="2"/>
  <c r="L48" i="2"/>
  <c r="K48" i="2" a="1"/>
  <c r="K48" i="2" s="1"/>
  <c r="J48" i="2"/>
  <c r="I48" i="2"/>
  <c r="L47" i="2"/>
  <c r="K47" i="2" a="1"/>
  <c r="K47" i="2" s="1"/>
  <c r="J47" i="2"/>
  <c r="I47" i="2"/>
  <c r="L46" i="2"/>
  <c r="K46" i="2" a="1"/>
  <c r="K46" i="2" s="1"/>
  <c r="J46" i="2"/>
  <c r="I46" i="2"/>
  <c r="L45" i="2"/>
  <c r="K45" i="2" a="1"/>
  <c r="K45" i="2" s="1"/>
  <c r="J45" i="2"/>
  <c r="I45" i="2"/>
  <c r="L44" i="2"/>
  <c r="K44" i="2" a="1"/>
  <c r="K44" i="2" s="1"/>
  <c r="J44" i="2"/>
  <c r="I44" i="2"/>
  <c r="L43" i="2"/>
  <c r="K43" i="2" a="1"/>
  <c r="K43" i="2" s="1"/>
  <c r="J43" i="2"/>
  <c r="I43" i="2"/>
  <c r="L42" i="2"/>
  <c r="K42" i="2" a="1"/>
  <c r="K42" i="2" s="1"/>
  <c r="J42" i="2"/>
  <c r="I42" i="2"/>
  <c r="L41" i="2"/>
  <c r="K41" i="2" a="1"/>
  <c r="K41" i="2" s="1"/>
  <c r="J41" i="2"/>
  <c r="I41" i="2"/>
  <c r="L40" i="2"/>
  <c r="K40" i="2" a="1"/>
  <c r="K40" i="2" s="1"/>
  <c r="J40" i="2"/>
  <c r="I40" i="2"/>
  <c r="L39" i="2"/>
  <c r="K39" i="2" a="1"/>
  <c r="K39" i="2" s="1"/>
  <c r="J39" i="2"/>
  <c r="I39" i="2"/>
  <c r="L38" i="2"/>
  <c r="K38" i="2" a="1"/>
  <c r="K38" i="2" s="1"/>
  <c r="J38" i="2"/>
  <c r="I38" i="2"/>
  <c r="L37" i="2"/>
  <c r="K37" i="2" a="1"/>
  <c r="K37" i="2" s="1"/>
  <c r="J37" i="2"/>
  <c r="I37" i="2"/>
  <c r="L36" i="2"/>
  <c r="K36" i="2" a="1"/>
  <c r="K36" i="2" s="1"/>
  <c r="J36" i="2"/>
  <c r="I36" i="2"/>
  <c r="L35" i="2"/>
  <c r="K35" i="2" a="1"/>
  <c r="K35" i="2" s="1"/>
  <c r="J35" i="2"/>
  <c r="I35" i="2"/>
  <c r="L34" i="2"/>
  <c r="K34" i="2" a="1"/>
  <c r="K34" i="2" s="1"/>
  <c r="J34" i="2"/>
  <c r="I34" i="2"/>
  <c r="L33" i="2"/>
  <c r="K33" i="2" a="1"/>
  <c r="K33" i="2" s="1"/>
  <c r="J33" i="2"/>
  <c r="I33" i="2"/>
  <c r="L32" i="2"/>
  <c r="K32" i="2" a="1"/>
  <c r="K32" i="2" s="1"/>
  <c r="J32" i="2"/>
  <c r="I32" i="2"/>
  <c r="L31" i="2"/>
  <c r="K31" i="2" a="1"/>
  <c r="K31" i="2" s="1"/>
  <c r="J31" i="2"/>
  <c r="I31" i="2"/>
  <c r="L30" i="2"/>
  <c r="K30" i="2" a="1"/>
  <c r="K30" i="2" s="1"/>
  <c r="J30" i="2"/>
  <c r="I30" i="2"/>
  <c r="L29" i="2"/>
  <c r="K29" i="2" a="1"/>
  <c r="K29" i="2" s="1"/>
  <c r="J29" i="2"/>
  <c r="I29" i="2"/>
  <c r="L28" i="2"/>
  <c r="K28" i="2" a="1"/>
  <c r="K28" i="2" s="1"/>
  <c r="J28" i="2"/>
  <c r="I28" i="2"/>
  <c r="L27" i="2"/>
  <c r="K27" i="2" a="1"/>
  <c r="K27" i="2" s="1"/>
  <c r="J27" i="2"/>
  <c r="I27" i="2"/>
  <c r="L26" i="2"/>
  <c r="K26" i="2" a="1"/>
  <c r="K26" i="2" s="1"/>
  <c r="J26" i="2"/>
  <c r="I26" i="2"/>
  <c r="L25" i="2"/>
  <c r="K25" i="2" a="1"/>
  <c r="K25" i="2" s="1"/>
  <c r="J25" i="2"/>
  <c r="I25" i="2"/>
  <c r="L24" i="2"/>
  <c r="K24" i="2" a="1"/>
  <c r="K24" i="2" s="1"/>
  <c r="J24" i="2"/>
  <c r="I24" i="2"/>
  <c r="L23" i="2"/>
  <c r="K23" i="2" a="1"/>
  <c r="K23" i="2" s="1"/>
  <c r="J23" i="2"/>
  <c r="I23" i="2"/>
  <c r="L22" i="2"/>
  <c r="K22" i="2" a="1"/>
  <c r="K22" i="2" s="1"/>
  <c r="J22" i="2"/>
  <c r="I22" i="2"/>
  <c r="L21" i="2"/>
  <c r="K21" i="2" a="1"/>
  <c r="K21" i="2" s="1"/>
  <c r="J21" i="2"/>
  <c r="I21" i="2"/>
  <c r="L20" i="2"/>
  <c r="K20" i="2" a="1"/>
  <c r="K20" i="2" s="1"/>
  <c r="J20" i="2"/>
  <c r="I20" i="2"/>
  <c r="L19" i="2"/>
  <c r="K19" i="2" a="1"/>
  <c r="K19" i="2" s="1"/>
  <c r="J19" i="2"/>
  <c r="I19" i="2"/>
  <c r="L18" i="2"/>
  <c r="K18" i="2" a="1"/>
  <c r="K18" i="2" s="1"/>
  <c r="J18" i="2"/>
  <c r="I18" i="2"/>
  <c r="L17" i="2"/>
  <c r="K17" i="2" a="1"/>
  <c r="K17" i="2" s="1"/>
  <c r="J17" i="2"/>
  <c r="I17" i="2"/>
  <c r="L16" i="2"/>
  <c r="K16" i="2" a="1"/>
  <c r="K16" i="2" s="1"/>
  <c r="J16" i="2"/>
  <c r="I16" i="2"/>
  <c r="L15" i="2"/>
  <c r="K15" i="2" a="1"/>
  <c r="K15" i="2" s="1"/>
  <c r="J15" i="2"/>
  <c r="I15" i="2"/>
  <c r="L14" i="2"/>
  <c r="K14" i="2" a="1"/>
  <c r="K14" i="2" s="1"/>
  <c r="J14" i="2"/>
  <c r="I14" i="2"/>
  <c r="L13" i="2"/>
  <c r="K13" i="2" a="1"/>
  <c r="K13" i="2" s="1"/>
  <c r="J13" i="2"/>
  <c r="I13" i="2"/>
  <c r="L12" i="2"/>
  <c r="K12" i="2" a="1"/>
  <c r="K12" i="2" s="1"/>
  <c r="J12" i="2"/>
  <c r="I12" i="2"/>
  <c r="L11" i="2"/>
  <c r="K11" i="2" a="1"/>
  <c r="K11" i="2" s="1"/>
  <c r="J11" i="2"/>
  <c r="I11" i="2"/>
  <c r="L10" i="2"/>
  <c r="K10" i="2" a="1"/>
  <c r="K10" i="2" s="1"/>
  <c r="J10" i="2"/>
  <c r="I10" i="2"/>
  <c r="L9" i="2"/>
  <c r="K9" i="2" a="1"/>
  <c r="K9" i="2" s="1"/>
  <c r="J9" i="2"/>
  <c r="I9" i="2"/>
  <c r="L8" i="2"/>
  <c r="K8" i="2" a="1"/>
  <c r="K8" i="2" s="1"/>
  <c r="J8" i="2"/>
  <c r="I8" i="2"/>
  <c r="L7" i="2"/>
  <c r="K7" i="2" a="1"/>
  <c r="K7" i="2" s="1"/>
  <c r="J7" i="2"/>
  <c r="I7" i="2"/>
  <c r="L6" i="2"/>
  <c r="K6" i="2" a="1"/>
  <c r="K6" i="2" s="1"/>
  <c r="J6" i="2"/>
  <c r="I6" i="2"/>
  <c r="L5" i="2"/>
  <c r="K5" i="2" a="1"/>
  <c r="K5" i="2" s="1"/>
  <c r="J5" i="2"/>
  <c r="I5" i="2"/>
  <c r="L4" i="2"/>
  <c r="K4" i="2" a="1"/>
  <c r="K4" i="2" s="1"/>
  <c r="J4" i="2"/>
  <c r="I4" i="2"/>
  <c r="G55" i="7"/>
  <c r="F55" i="7"/>
  <c r="E55" i="7"/>
  <c r="G54" i="7"/>
  <c r="F54" i="7"/>
  <c r="E54" i="7"/>
  <c r="G53" i="7"/>
  <c r="F53" i="7"/>
  <c r="E53" i="7"/>
  <c r="G52" i="7"/>
  <c r="F52" i="7"/>
  <c r="E52" i="7"/>
  <c r="G51" i="7"/>
  <c r="F51" i="7"/>
  <c r="E51" i="7"/>
  <c r="I48" i="7"/>
  <c r="I55" i="7" s="1"/>
  <c r="F79" i="7" l="1"/>
  <c r="F82" i="7" s="1"/>
  <c r="F86" i="7" s="1"/>
  <c r="M39" i="6" s="1"/>
  <c r="F78" i="7"/>
  <c r="F81" i="7" s="1"/>
  <c r="F85" i="7" s="1"/>
  <c r="M38" i="6" s="1"/>
  <c r="H55" i="7"/>
  <c r="H51" i="7"/>
  <c r="I52" i="7"/>
  <c r="H53" i="7"/>
  <c r="I54" i="7"/>
  <c r="I51" i="7"/>
  <c r="H52" i="7"/>
  <c r="I53" i="7"/>
  <c r="H5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07.sample-data-excel-portfolio-project.xlsx!calls" type="102" refreshedVersion="6"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00000000-0015-0000-FFFF-FFFF02000000}" name="WorksheetConnection_07.sample-data-excel-portfolio-project.xlsx!customers" type="102" refreshedVersion="6"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5">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futureMetadata>
  <valueMetadata count="5">
    <bk>
      <rc t="1" v="0"/>
    </bk>
    <bk>
      <rc t="1" v="1"/>
    </bk>
    <bk>
      <rc t="1" v="2"/>
    </bk>
    <bk>
      <rc t="1" v="3"/>
    </bk>
    <bk>
      <rc t="1" v="4"/>
    </bk>
  </valueMetadata>
</metadata>
</file>

<file path=xl/sharedStrings.xml><?xml version="1.0" encoding="utf-8"?>
<sst xmlns="http://schemas.openxmlformats.org/spreadsheetml/2006/main" count="3173" uniqueCount="1089">
  <si>
    <t>TOTAL</t>
  </si>
  <si>
    <t>Call Count</t>
  </si>
  <si>
    <t>Total Amount</t>
  </si>
  <si>
    <t>Total Duration</t>
  </si>
  <si>
    <t>Average Rating</t>
  </si>
  <si>
    <t>5* Calls</t>
  </si>
  <si>
    <t>Row Labels</t>
  </si>
  <si>
    <t>Call Count2</t>
  </si>
  <si>
    <t>Jan</t>
  </si>
  <si>
    <t>Sunday</t>
  </si>
  <si>
    <t>Feb</t>
  </si>
  <si>
    <t>Monday</t>
  </si>
  <si>
    <t>Mar</t>
  </si>
  <si>
    <t>Tuesday</t>
  </si>
  <si>
    <t>Apr</t>
  </si>
  <si>
    <t>Wednesday</t>
  </si>
  <si>
    <t>May</t>
  </si>
  <si>
    <t>Thursday</t>
  </si>
  <si>
    <t>Jun</t>
  </si>
  <si>
    <t>Friday</t>
  </si>
  <si>
    <t>Jul</t>
  </si>
  <si>
    <t>Saturday</t>
  </si>
  <si>
    <t>Aug</t>
  </si>
  <si>
    <t>Grand Total</t>
  </si>
  <si>
    <t>Sep</t>
  </si>
  <si>
    <t>Oct</t>
  </si>
  <si>
    <t>Nov</t>
  </si>
  <si>
    <t>Dec</t>
  </si>
  <si>
    <t>For graph</t>
  </si>
  <si>
    <t>Selected rep</t>
  </si>
  <si>
    <t>Count of Call number</t>
  </si>
  <si>
    <t>Sum of Purchase Amount</t>
  </si>
  <si>
    <t>Rep</t>
  </si>
  <si>
    <t>Calls</t>
  </si>
  <si>
    <t>Amount</t>
  </si>
  <si>
    <t>Sel.Calls</t>
  </si>
  <si>
    <t>Sel.Amount</t>
  </si>
  <si>
    <t>R01</t>
  </si>
  <si>
    <t>R02</t>
  </si>
  <si>
    <t>R03</t>
  </si>
  <si>
    <t>R04</t>
  </si>
  <si>
    <t>R05</t>
  </si>
  <si>
    <t>=</t>
  </si>
  <si>
    <t>Rep Summary</t>
  </si>
  <si>
    <t>% of calls</t>
  </si>
  <si>
    <t xml:space="preserve">Amount </t>
  </si>
  <si>
    <t>Call rank</t>
  </si>
  <si>
    <t>Amount rank</t>
  </si>
  <si>
    <t>lABELS:</t>
  </si>
  <si>
    <t>Image:</t>
  </si>
  <si>
    <t>Column Labels</t>
  </si>
  <si>
    <t>Female</t>
  </si>
  <si>
    <t>Male</t>
  </si>
  <si>
    <t>Cincinnati</t>
  </si>
  <si>
    <t>Cleveland</t>
  </si>
  <si>
    <t>Columbus</t>
  </si>
  <si>
    <t>C0003</t>
  </si>
  <si>
    <t>C0004</t>
  </si>
  <si>
    <t>C0011</t>
  </si>
  <si>
    <t>C0012</t>
  </si>
  <si>
    <t>C0002</t>
  </si>
  <si>
    <t>C0007</t>
  </si>
  <si>
    <t>C0008</t>
  </si>
  <si>
    <t>C0010</t>
  </si>
  <si>
    <t>C0013</t>
  </si>
  <si>
    <t>C0015</t>
  </si>
  <si>
    <t>C0001</t>
  </si>
  <si>
    <t>C0005</t>
  </si>
  <si>
    <t>C0006</t>
  </si>
  <si>
    <t>C0009</t>
  </si>
  <si>
    <t>C0014</t>
  </si>
  <si>
    <t>Call Centre Data</t>
  </si>
  <si>
    <t>Call number</t>
  </si>
  <si>
    <t>Customer ID</t>
  </si>
  <si>
    <t>Duration</t>
  </si>
  <si>
    <t>Representative</t>
  </si>
  <si>
    <t>Date of Call</t>
  </si>
  <si>
    <t>Purchase Amount</t>
  </si>
  <si>
    <t>Satisfaction Rating</t>
  </si>
  <si>
    <t>FY</t>
  </si>
  <si>
    <t>Day of week</t>
  </si>
  <si>
    <t>Duration Bucket</t>
  </si>
  <si>
    <t>Rating rounded</t>
  </si>
  <si>
    <t>Gender</t>
  </si>
  <si>
    <t>Age</t>
  </si>
  <si>
    <t>City</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</si>
  <si>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</si>
  <si>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</si>
  <si>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</si>
  <si>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</si>
  <si>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</si>
  <si>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</si>
  <si>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</si>
  <si>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</si>
  <si>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</si>
  <si>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</si>
  <si>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</si>
  <si>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</si>
  <si>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</si>
  <si>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</si>
  <si>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</si>
  <si>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</si>
  <si>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</si>
  <si>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</si>
  <si>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</si>
  <si>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</si>
  <si>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</si>
  <si>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</si>
  <si>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</si>
  <si>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</si>
  <si>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</si>
  <si>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</si>
  <si>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</si>
  <si>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</si>
  <si>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</si>
  <si>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</si>
  <si>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</si>
  <si>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</si>
  <si>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</si>
  <si>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</si>
  <si>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</si>
  <si>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</si>
  <si>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</si>
  <si>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</si>
  <si>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</si>
  <si>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</si>
  <si>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</si>
  <si>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</si>
  <si>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</si>
  <si>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</si>
  <si>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</si>
  <si>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</si>
  <si>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</si>
  <si>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</si>
  <si>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</si>
  <si>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</si>
  <si>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</si>
  <si>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</si>
  <si>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</si>
  <si>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</si>
  <si>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</si>
  <si>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</si>
  <si>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</si>
  <si>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</si>
  <si>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</si>
  <si>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</si>
  <si>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</si>
  <si>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</si>
  <si>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</si>
  <si>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</si>
  <si>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</si>
  <si>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</si>
  <si>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</si>
  <si>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</si>
  <si>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</si>
  <si>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</si>
  <si>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</si>
  <si>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</si>
  <si>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</si>
  <si>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</si>
  <si>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</si>
  <si>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</si>
  <si>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</si>
  <si>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</si>
  <si>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</si>
  <si>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</si>
  <si>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</si>
  <si>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</si>
  <si>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</si>
  <si>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</si>
  <si>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</si>
  <si>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</si>
  <si>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</si>
  <si>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</si>
  <si>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</si>
  <si>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</si>
  <si>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</si>
  <si>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</si>
  <si>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</si>
  <si>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</si>
  <si>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</si>
  <si>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</si>
  <si>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</si>
  <si>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</si>
  <si>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</si>
  <si>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</si>
  <si>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</si>
  <si>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</si>
  <si>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</si>
  <si>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</si>
  <si>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</si>
  <si>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</si>
  <si>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</si>
  <si>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</si>
  <si>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</si>
  <si>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</si>
  <si>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</si>
  <si>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</si>
  <si>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</si>
  <si>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</si>
  <si>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</si>
  <si>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</si>
  <si>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</si>
  <si>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</si>
  <si>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</si>
  <si>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</si>
  <si>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</si>
  <si>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</si>
  <si>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</si>
  <si>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</si>
  <si>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</si>
  <si>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</si>
  <si>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</si>
  <si>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</si>
  <si>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</si>
  <si>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</si>
  <si>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</si>
  <si>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</si>
  <si>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</si>
  <si>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</si>
  <si>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</si>
  <si>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</si>
  <si>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</si>
  <si>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</si>
  <si>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</si>
  <si>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</si>
  <si>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</si>
  <si>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</si>
  <si>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</si>
  <si>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</si>
  <si>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</si>
  <si>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</si>
  <si>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</si>
  <si>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</si>
  <si>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</si>
  <si>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</si>
  <si>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</si>
  <si>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</si>
  <si>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</si>
  <si>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</si>
  <si>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</si>
  <si>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</si>
  <si>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</si>
  <si>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</si>
  <si>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</si>
  <si>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</si>
  <si>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</si>
  <si>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</si>
  <si>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</si>
  <si>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</si>
  <si>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</si>
  <si>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</si>
  <si>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</si>
  <si>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</si>
  <si>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</si>
  <si>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</si>
  <si>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</si>
  <si>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</si>
  <si>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</si>
  <si>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</si>
  <si>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</si>
  <si>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</si>
  <si>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</si>
  <si>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</si>
  <si>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</si>
  <si>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</si>
  <si>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</si>
  <si>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</si>
  <si>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</si>
  <si>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</si>
  <si>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</si>
  <si>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</si>
  <si>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</si>
  <si>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</si>
  <si>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</si>
  <si>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</si>
  <si>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</si>
  <si>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</si>
  <si>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</si>
  <si>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</si>
  <si>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</si>
  <si>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</si>
  <si>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</si>
  <si>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</si>
  <si>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</si>
  <si>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</si>
  <si>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</si>
  <si>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</si>
  <si>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</si>
  <si>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</si>
  <si>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</si>
  <si>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</si>
  <si>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</si>
  <si>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</si>
  <si>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</si>
  <si>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</si>
  <si>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</si>
  <si>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</si>
  <si>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</si>
  <si>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</si>
  <si>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</si>
  <si>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</si>
  <si>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</si>
  <si>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</si>
  <si>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</si>
  <si>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</si>
  <si>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</si>
  <si>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</si>
  <si>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</si>
  <si>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</si>
  <si>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</si>
  <si>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</si>
  <si>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</si>
  <si>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</si>
  <si>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</si>
  <si>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</si>
  <si>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</si>
  <si>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</si>
  <si>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</si>
  <si>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</si>
  <si>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</si>
  <si>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</si>
  <si>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</si>
  <si>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</si>
  <si>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</si>
  <si>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</si>
  <si>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</si>
  <si>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</si>
  <si>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</si>
  <si>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</si>
  <si>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</si>
  <si>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</si>
  <si>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</si>
  <si>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</si>
  <si>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</si>
  <si>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</si>
  <si>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</si>
  <si>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</si>
  <si>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</si>
  <si>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</si>
  <si>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</si>
  <si>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</si>
  <si>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</si>
  <si>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</si>
  <si>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</si>
  <si>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</si>
  <si>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</si>
  <si>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</si>
  <si>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</si>
  <si>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</si>
  <si>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</si>
  <si>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</si>
  <si>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</si>
  <si>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</si>
  <si>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</si>
  <si>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</si>
  <si>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</si>
  <si>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</si>
  <si>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</si>
  <si>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</si>
  <si>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</si>
  <si>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</si>
  <si>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</si>
  <si>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</si>
  <si>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</si>
  <si>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</si>
  <si>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</si>
  <si>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</si>
  <si>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</si>
  <si>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</si>
  <si>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</si>
  <si>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</si>
  <si>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</si>
  <si>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</si>
  <si>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</si>
  <si>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</si>
  <si>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</si>
  <si>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</si>
  <si>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</si>
  <si>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</si>
  <si>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</si>
  <si>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</si>
  <si>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</si>
  <si>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</si>
  <si>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</si>
  <si>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</si>
  <si>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</si>
  <si>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</si>
  <si>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</si>
  <si>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</si>
  <si>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</si>
  <si>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</si>
  <si>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</si>
  <si>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</si>
  <si>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</si>
  <si>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</si>
  <si>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</si>
  <si>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</si>
  <si>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</si>
  <si>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</si>
  <si>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</si>
  <si>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</si>
  <si>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</si>
  <si>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</si>
  <si>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</si>
  <si>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</si>
  <si>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</si>
  <si>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</si>
  <si>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</si>
  <si>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</si>
  <si>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</si>
  <si>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</si>
  <si>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</si>
  <si>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</si>
  <si>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</si>
  <si>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</si>
  <si>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</si>
  <si>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</si>
  <si>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</si>
  <si>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</si>
  <si>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</si>
  <si>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</si>
  <si>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</si>
  <si>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</si>
  <si>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</si>
  <si>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</si>
  <si>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</si>
  <si>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</si>
  <si>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</si>
  <si>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</si>
  <si>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</si>
  <si>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</si>
  <si>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</si>
  <si>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</si>
  <si>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</si>
  <si>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</si>
  <si>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</si>
  <si>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</si>
  <si>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</si>
  <si>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</si>
  <si>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</si>
  <si>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</si>
  <si>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</si>
  <si>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</si>
  <si>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</si>
  <si>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</si>
  <si>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</si>
  <si>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</si>
  <si>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</si>
  <si>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</si>
  <si>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</si>
  <si>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</si>
  <si>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</si>
  <si>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</si>
  <si>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</si>
  <si>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</si>
  <si>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</si>
  <si>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</si>
  <si>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</si>
  <si>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</si>
  <si>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</si>
  <si>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</si>
  <si>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</si>
  <si>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</si>
  <si>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</si>
  <si>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</si>
  <si>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</si>
  <si>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</si>
  <si>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</si>
  <si>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</si>
  <si>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</si>
  <si>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</si>
  <si>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</si>
  <si>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</si>
  <si>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</si>
  <si>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</si>
  <si>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</si>
  <si>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</si>
  <si>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</si>
  <si>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</si>
  <si>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</si>
  <si>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</si>
  <si>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</si>
  <si>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</si>
  <si>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</si>
  <si>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</si>
  <si>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</si>
  <si>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</si>
  <si>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</si>
  <si>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</si>
  <si>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</si>
  <si>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</si>
  <si>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</si>
  <si>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</si>
  <si>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</si>
  <si>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</si>
  <si>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</si>
  <si>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</si>
  <si>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</si>
  <si>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</si>
  <si>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</si>
  <si>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</si>
  <si>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</si>
  <si>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</si>
  <si>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</si>
  <si>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</si>
  <si>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</si>
  <si>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</si>
  <si>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</si>
  <si>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</si>
  <si>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</si>
  <si>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</si>
  <si>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</si>
  <si>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</si>
  <si>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</si>
  <si>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</si>
  <si>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</si>
  <si>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</si>
  <si>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</si>
  <si>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</si>
  <si>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</si>
  <si>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</si>
  <si>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</si>
  <si>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</si>
  <si>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</si>
  <si>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</si>
  <si>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</si>
  <si>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</si>
  <si>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</si>
  <si>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</si>
  <si>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</si>
  <si>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</si>
  <si>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</si>
  <si>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</si>
  <si>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</si>
  <si>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</si>
  <si>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</si>
  <si>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</si>
  <si>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</si>
  <si>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</si>
  <si>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</si>
  <si>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</si>
  <si>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</si>
  <si>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</si>
  <si>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</si>
  <si>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</si>
  <si>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</si>
  <si>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</si>
  <si>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</si>
  <si>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</si>
  <si>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</si>
  <si>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</si>
  <si>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</si>
  <si>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</si>
  <si>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</si>
  <si>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</si>
  <si>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</si>
  <si>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</si>
  <si>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</si>
  <si>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</si>
  <si>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</si>
  <si>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</si>
  <si>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</si>
  <si>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</si>
  <si>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</si>
  <si>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</si>
  <si>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</si>
  <si>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</si>
  <si>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</si>
  <si>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</si>
  <si>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</si>
  <si>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</si>
  <si>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</si>
  <si>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</si>
  <si>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</si>
  <si>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</si>
  <si>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</si>
  <si>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</si>
  <si>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</si>
  <si>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</si>
  <si>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</si>
  <si>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</si>
  <si>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</si>
  <si>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</si>
  <si>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</si>
  <si>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</si>
  <si>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</si>
  <si>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</si>
  <si>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</si>
  <si>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</si>
  <si>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</si>
  <si>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</si>
  <si>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</si>
  <si>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</si>
  <si>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</si>
  <si>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</si>
  <si>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</si>
  <si>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</si>
  <si>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</si>
  <si>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</si>
  <si>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</si>
  <si>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</si>
  <si>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</si>
  <si>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</si>
  <si>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</si>
  <si>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</si>
  <si>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</si>
  <si>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</si>
  <si>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</si>
  <si>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</si>
  <si>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</si>
  <si>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</si>
  <si>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</si>
  <si>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</si>
  <si>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</si>
  <si>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</si>
  <si>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</si>
  <si>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</si>
  <si>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</si>
  <si>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</si>
  <si>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</si>
  <si>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</si>
  <si>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</si>
  <si>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</si>
  <si>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</si>
  <si>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</si>
  <si>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</si>
  <si>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</si>
  <si>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</si>
  <si>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</si>
  <si>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</si>
  <si>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</si>
  <si>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</si>
  <si>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</si>
  <si>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</si>
  <si>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</si>
  <si>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</si>
  <si>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</si>
  <si>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</si>
  <si>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</si>
  <si>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</si>
  <si>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</si>
  <si>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</si>
  <si>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</si>
  <si>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</si>
  <si>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</si>
  <si>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</si>
  <si>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</si>
  <si>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</si>
  <si>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</si>
  <si>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</si>
  <si>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</si>
  <si>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</si>
  <si>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</si>
  <si>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</si>
  <si>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</si>
  <si>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</si>
  <si>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</si>
  <si>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</si>
  <si>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</si>
  <si>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</si>
  <si>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</si>
  <si>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</si>
  <si>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</si>
  <si>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</si>
  <si>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</si>
  <si>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</si>
  <si>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</si>
  <si>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</si>
  <si>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</si>
  <si>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</si>
  <si>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</si>
  <si>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</si>
  <si>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</si>
  <si>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</si>
  <si>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</si>
  <si>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</si>
  <si>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</si>
  <si>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</si>
  <si>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</si>
  <si>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</si>
  <si>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</si>
  <si>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</si>
  <si>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</si>
  <si>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</si>
  <si>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</si>
  <si>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</si>
  <si>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</si>
  <si>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</si>
  <si>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</si>
  <si>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</si>
  <si>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</si>
  <si>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</si>
  <si>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</si>
  <si>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</si>
  <si>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</si>
  <si>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</si>
  <si>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</si>
  <si>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</si>
  <si>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</si>
  <si>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</si>
  <si>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</si>
  <si>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</si>
  <si>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</si>
  <si>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</si>
  <si>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</si>
  <si>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</si>
  <si>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</si>
  <si>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</si>
  <si>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</si>
  <si>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</si>
  <si>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</si>
  <si>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</si>
  <si>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</si>
  <si>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</si>
  <si>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</si>
  <si>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</si>
  <si>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</si>
  <si>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</si>
  <si>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</si>
  <si>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</si>
  <si>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</si>
  <si>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</si>
  <si>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</si>
  <si>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</si>
  <si>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</si>
  <si>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</si>
  <si>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</si>
  <si>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</si>
  <si>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</si>
  <si>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</si>
  <si>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</si>
  <si>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</si>
  <si>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</si>
  <si>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</si>
  <si>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</si>
  <si>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</si>
  <si>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</si>
  <si>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</si>
  <si>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</si>
  <si>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</si>
  <si>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</si>
  <si>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</si>
  <si>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</si>
  <si>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</si>
  <si>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</si>
  <si>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</si>
  <si>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</si>
  <si>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</si>
  <si>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</si>
  <si>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</si>
  <si>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</si>
  <si>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</si>
  <si>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</si>
  <si>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</si>
  <si>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</si>
  <si>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</si>
  <si>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</si>
  <si>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</si>
  <si>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</si>
  <si>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</si>
  <si>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</si>
  <si>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</si>
  <si>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</si>
  <si>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</si>
  <si>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</si>
  <si>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</si>
  <si>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</si>
  <si>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</si>
  <si>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</si>
  <si>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</si>
  <si>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</si>
  <si>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</si>
  <si>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</si>
  <si>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</si>
  <si>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</si>
  <si>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</si>
  <si>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</si>
  <si>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</si>
  <si>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</si>
  <si>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</si>
  <si>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</si>
  <si>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</si>
  <si>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</si>
  <si>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</si>
  <si>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</si>
  <si>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</si>
  <si>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</si>
  <si>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</si>
  <si>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</si>
  <si>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</si>
  <si>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</si>
  <si>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</si>
  <si>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</si>
  <si>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</si>
  <si>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</si>
  <si>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</si>
  <si>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</si>
  <si>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</si>
  <si>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</si>
  <si>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</si>
  <si>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</si>
  <si>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</si>
  <si>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</si>
  <si>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</si>
  <si>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</si>
  <si>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</si>
  <si>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</si>
  <si>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</si>
  <si>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</si>
  <si>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</si>
  <si>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</si>
  <si>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</si>
  <si>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</si>
  <si>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</si>
  <si>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</si>
  <si>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</si>
  <si>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</si>
  <si>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</si>
  <si>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</si>
  <si>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</si>
  <si>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</si>
  <si>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</si>
  <si>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</si>
  <si>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</si>
  <si>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</si>
  <si>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</si>
  <si>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</si>
  <si>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</si>
  <si>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</si>
  <si>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</si>
  <si>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</si>
  <si>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</si>
  <si>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</si>
  <si>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</si>
  <si>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</si>
  <si>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</si>
  <si>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</si>
  <si>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</si>
  <si>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</si>
  <si>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</si>
  <si>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</si>
  <si>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</si>
  <si>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</si>
  <si>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</si>
  <si>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</si>
  <si>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</si>
  <si>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</si>
  <si>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</si>
  <si>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</si>
  <si>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</si>
  <si>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</si>
  <si>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</si>
  <si>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</si>
  <si>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</si>
  <si>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</si>
  <si>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</si>
  <si>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</si>
  <si>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</si>
  <si>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</si>
  <si>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</si>
  <si>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</si>
  <si>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</si>
  <si>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</si>
  <si>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</si>
  <si>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</si>
  <si>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</si>
  <si>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</si>
  <si>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</si>
  <si>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</si>
  <si>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</si>
  <si>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</si>
  <si>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</si>
  <si>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</si>
  <si>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</si>
  <si>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</si>
  <si>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</si>
  <si>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</si>
  <si>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</si>
  <si>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</si>
  <si>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</si>
  <si>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</si>
  <si>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</si>
  <si>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</si>
  <si>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</si>
  <si>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</si>
  <si>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</si>
  <si>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</si>
  <si>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</si>
  <si>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</si>
  <si>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</si>
  <si>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</si>
  <si>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</si>
  <si>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</si>
  <si>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</si>
  <si>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</si>
  <si>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</si>
  <si>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</si>
  <si>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</si>
  <si>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</si>
  <si>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</si>
  <si>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</si>
  <si>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</si>
  <si>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</si>
  <si>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</si>
  <si>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</si>
  <si>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</si>
  <si>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</si>
  <si>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</si>
  <si>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</si>
  <si>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</si>
  <si>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</si>
  <si>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</si>
  <si>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</si>
  <si>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</si>
  <si>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</si>
  <si>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</si>
  <si>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</si>
  <si>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</si>
  <si>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</si>
  <si>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</si>
  <si>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</si>
  <si>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</si>
  <si>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</si>
  <si>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</si>
  <si>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</si>
  <si>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</si>
  <si>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</si>
  <si>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</si>
  <si>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</si>
  <si>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</si>
  <si>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</si>
  <si>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</si>
  <si>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</si>
  <si>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</si>
  <si>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</si>
  <si>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</si>
  <si>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</si>
  <si>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</si>
  <si>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</si>
  <si>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</si>
  <si>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</si>
  <si>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</si>
  <si>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</si>
  <si>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</si>
  <si>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</si>
  <si>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</si>
  <si>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</si>
  <si>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</si>
  <si>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</si>
  <si>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</si>
  <si>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</si>
  <si>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</si>
  <si>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</si>
  <si>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</si>
  <si>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</si>
  <si>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</si>
  <si>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</si>
  <si>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</si>
  <si>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</si>
  <si>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</si>
  <si>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</si>
  <si>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</si>
  <si>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</si>
  <si>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</si>
  <si>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</si>
  <si>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</si>
  <si>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</si>
  <si>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</si>
  <si>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</si>
  <si>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</si>
  <si>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</si>
  <si>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</si>
  <si>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</si>
  <si>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</si>
  <si>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</si>
  <si>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</si>
  <si>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</si>
  <si>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</si>
  <si>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</si>
  <si>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</si>
  <si>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</si>
  <si>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</si>
  <si>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</si>
  <si>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</si>
  <si>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</si>
  <si>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</si>
  <si>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</si>
  <si>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</si>
  <si>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</si>
  <si>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</si>
  <si>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</si>
  <si>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</si>
  <si>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</si>
  <si>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</si>
  <si>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</si>
  <si>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</si>
  <si>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</si>
  <si>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</si>
  <si>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</si>
  <si>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</si>
  <si>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</si>
  <si>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</si>
  <si>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</si>
  <si>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</si>
  <si>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</si>
  <si>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</si>
  <si>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</si>
  <si>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</si>
  <si>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</si>
  <si>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</si>
  <si>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</si>
  <si>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</si>
  <si>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</si>
  <si>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</si>
  <si>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</si>
  <si>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</si>
  <si>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</si>
  <si>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</si>
  <si>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</si>
  <si>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</si>
  <si>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</si>
  <si>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</si>
  <si>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</si>
  <si>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</si>
  <si>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</si>
  <si>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</si>
  <si>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</si>
  <si>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</si>
  <si>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</si>
  <si>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</si>
  <si>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</si>
  <si>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</si>
  <si>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</si>
  <si>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</si>
  <si>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</si>
  <si>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</si>
  <si>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</si>
  <si>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</si>
  <si>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</si>
  <si>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</si>
  <si>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</si>
  <si>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</si>
  <si>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</si>
  <si>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</si>
  <si>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</si>
  <si>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</si>
  <si>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</si>
  <si>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</si>
  <si>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</si>
  <si>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</si>
  <si>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</si>
  <si>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</si>
  <si>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</si>
  <si>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</si>
  <si>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</si>
  <si>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</si>
  <si>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</si>
  <si>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</si>
  <si>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</si>
  <si>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</si>
  <si>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</si>
  <si>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</si>
  <si>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</si>
  <si>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</si>
  <si>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</si>
  <si>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</si>
  <si>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</si>
  <si>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</si>
  <si>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</si>
  <si>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</si>
  <si>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</si>
  <si>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</si>
  <si>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</si>
  <si>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</si>
  <si>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</si>
  <si>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</si>
  <si>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</si>
  <si>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</si>
  <si>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</si>
  <si>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</si>
  <si>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</si>
  <si>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</si>
  <si>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</si>
  <si>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</si>
  <si>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</si>
  <si>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Rep ID</t>
  </si>
  <si>
    <t>Rep Image</t>
  </si>
  <si>
    <t>CALL CENTRE PERFORMANCE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</si>
</sst>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C09]#,##0"/>
  </numFmts>
  <fonts count="7">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2"/>
      <color theme="1"/>
      <name val="Aptos"/>
      <family val="2"/>
      <scheme val="minor"/>
    </font>
    <font>
      <sz val="11.5"/>
      <color theme="1"/>
      <name val="Aptos"/>
      <family val="2"/>
      <scheme val="minor"/>
    </font>
    <font>
      <b/>
      <sz val="24"/>
      <color theme="1"/>
      <name val="Aptos ExtraBold"/>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6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3" borderId="0" xfId="0" applyFont="1" applyFill="1" applyAlignment="1">
      <alignment horizontal="center" vertical="center"/>
    </xf>
    <xf numFmtId="0" fontId="0" fillId="3" borderId="0" xfId="0" applyFont="1" applyFill="1" applyAlignment="1">
      <alignment horizontal="center" vertical="top"/>
    </xf>
    <xf numFmtId="0" fontId="4" fillId="3" borderId="0" xfId="0" applyFont="1" applyFill="1" applyAlignment="1">
      <alignment horizontal="center" vertical="center"/>
    </xf>
    <xf numFmtId="168" fontId="4" fillId="3" borderId="0" xfId="0" applyNumberFormat="1" applyFont="1" applyFill="1" applyAlignment="1">
      <alignment horizontal="right" vertical="center"/>
    </xf>
    <xf numFmtId="0" fontId="5" fillId="3" borderId="0" xfId="0" applyFont="1" applyFill="1" applyAlignment="1">
      <alignment horizontal="center" vertical="center"/>
    </xf>
    <xf numFmtId="0" fontId="0" fillId="3" borderId="0" xfId="0" applyFill="1" applyAlignment="1">
      <alignment horizontal="center" vertical="top"/>
    </xf>
    <xf numFmtId="0" fontId="4" fillId="3" borderId="0" xfId="0" applyFont="1" applyFill="1" applyAlignment="1">
      <alignment horizontal="center" vertical="top"/>
    </xf>
    <xf numFmtId="0" fontId="0" fillId="0" borderId="0" xfId="0" applyAlignment="1">
      <alignment horizontal="center" vertical="top"/>
    </xf>
    <xf numFmtId="0" fontId="0" fillId="5" borderId="13" xfId="0" applyFont="1" applyFill="1" applyBorder="1" applyAlignment="1">
      <alignment horizontal="center" vertical="center"/>
    </xf>
    <xf numFmtId="0" fontId="0" fillId="5" borderId="10" xfId="0" applyFont="1" applyFill="1" applyBorder="1" applyAlignment="1">
      <alignment horizontal="center" vertical="center"/>
    </xf>
    <xf numFmtId="168" fontId="0" fillId="5" borderId="11" xfId="0" applyNumberFormat="1" applyFont="1" applyFill="1" applyBorder="1" applyAlignment="1">
      <alignment horizontal="center" vertical="top"/>
    </xf>
    <xf numFmtId="168" fontId="0" fillId="5" borderId="11" xfId="0" applyNumberFormat="1" applyFont="1" applyFill="1" applyBorder="1" applyAlignment="1">
      <alignment horizontal="right" vertical="center"/>
    </xf>
    <xf numFmtId="168" fontId="0" fillId="5" borderId="12" xfId="0" applyNumberFormat="1" applyFont="1" applyFill="1" applyBorder="1" applyAlignment="1">
      <alignment horizontal="right" vertical="top"/>
    </xf>
    <xf numFmtId="168" fontId="0" fillId="5" borderId="0" xfId="0" applyNumberFormat="1" applyFont="1" applyFill="1" applyBorder="1" applyAlignment="1">
      <alignment horizontal="center" vertical="top"/>
    </xf>
    <xf numFmtId="168" fontId="0" fillId="5" borderId="0" xfId="0" applyNumberFormat="1" applyFont="1" applyFill="1" applyBorder="1" applyAlignment="1">
      <alignment horizontal="right" vertical="center"/>
    </xf>
    <xf numFmtId="168" fontId="0" fillId="5" borderId="14" xfId="0" applyNumberFormat="1" applyFont="1" applyFill="1" applyBorder="1" applyAlignment="1">
      <alignment horizontal="right" vertical="top"/>
    </xf>
    <xf numFmtId="168" fontId="0" fillId="5" borderId="0" xfId="0" applyNumberFormat="1" applyFont="1" applyFill="1" applyBorder="1" applyAlignment="1">
      <alignment horizontal="right" vertical="center" wrapText="1"/>
    </xf>
    <xf numFmtId="168" fontId="0" fillId="5" borderId="14" xfId="0" applyNumberFormat="1" applyFont="1" applyFill="1" applyBorder="1" applyAlignment="1">
      <alignment horizontal="right" vertical="center"/>
    </xf>
    <xf numFmtId="0" fontId="0" fillId="5" borderId="15" xfId="0" applyFont="1" applyFill="1" applyBorder="1" applyAlignment="1">
      <alignment horizontal="center" vertical="center"/>
    </xf>
    <xf numFmtId="168" fontId="0" fillId="5" borderId="16" xfId="0" applyNumberFormat="1" applyFont="1" applyFill="1" applyBorder="1" applyAlignment="1">
      <alignment horizontal="center" vertical="top"/>
    </xf>
    <xf numFmtId="168" fontId="0" fillId="5" borderId="16" xfId="0" applyNumberFormat="1" applyFont="1" applyFill="1" applyBorder="1" applyAlignment="1">
      <alignment horizontal="right" vertical="center"/>
    </xf>
    <xf numFmtId="168" fontId="0" fillId="5" borderId="17" xfId="0" applyNumberFormat="1" applyFont="1" applyFill="1" applyBorder="1" applyAlignment="1">
      <alignment horizontal="right" vertical="center"/>
    </xf>
    <xf numFmtId="0" fontId="0" fillId="0" borderId="0" xfId="0" applyAlignment="1">
      <alignment wrapText="1"/>
    </xf>
    <xf numFmtId="0" fontId="0" fillId="3" borderId="0" xfId="0" applyFill="1" applyAlignment="1">
      <alignment horizontal="center" vertical="center"/>
    </xf>
    <xf numFmtId="0" fontId="0" fillId="3" borderId="0" xfId="0" applyFill="1" applyAlignment="1">
      <alignment vertical="center"/>
    </xf>
    <xf numFmtId="0" fontId="0" fillId="3" borderId="0" xfId="0" applyFill="1" applyAlignment="1">
      <alignment horizontal="center" vertical="center"/>
    </xf>
    <xf numFmtId="0" fontId="1" fillId="3" borderId="0" xfId="0" applyFont="1" applyFill="1" applyAlignment="1">
      <alignment horizontal="center" vertical="center"/>
    </xf>
    <xf numFmtId="0" fontId="1" fillId="3" borderId="14" xfId="0" applyFont="1" applyFill="1" applyBorder="1" applyAlignment="1">
      <alignment horizontal="center" vertical="center"/>
    </xf>
    <xf numFmtId="0" fontId="0" fillId="3" borderId="0" xfId="0" applyFill="1" applyAlignment="1">
      <alignment horizontal="left" vertical="center"/>
    </xf>
    <xf numFmtId="0" fontId="6" fillId="3" borderId="0" xfId="0" applyFont="1" applyFill="1" applyAlignment="1">
      <alignment horizontal="left" vertical="center"/>
    </xf>
  </cellXfs>
  <cellStyles count="1">
    <cellStyle name="Normal" xfId="0" builtinId="0"/>
  </cellStyles>
  <dxfs count="22">
    <dxf>
      <fill>
        <patternFill patternType="solid">
          <bgColor rgb="FFFFC000"/>
        </patternFill>
      </fill>
    </dxf>
    <dxf>
      <fill>
        <patternFill patternType="solid">
          <bgColor rgb="FFFFC0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FFC000"/>
        </patternFill>
      </fill>
    </dxf>
    <dxf>
      <fill>
        <patternFill>
          <bgColor theme="9" tint="0.79998168889431442"/>
        </patternFill>
      </fill>
      <border>
        <left style="thin">
          <color theme="0" tint="-0.499984740745262"/>
        </left>
        <right style="thin">
          <color theme="0" tint="-0.499984740745262"/>
        </right>
        <top style="thin">
          <color auto="1"/>
        </top>
        <bottom style="thin">
          <color auto="1"/>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00000000-0011-0000-FFFF-FFFF00000000}">
      <tableStyleElement type="wholeTable" dxfId="21"/>
    </tableStyle>
    <tableStyle name="SlicerStyleDark5 2" pivot="0" table="0" count="10" xr9:uid="{00000000-0011-0000-FFFF-FFFF01000000}">
      <tableStyleElement type="wholeTable" dxfId="20"/>
      <tableStyleElement type="headerRow" dxfId="19"/>
    </tableStyle>
  </tableStyles>
  <colors>
    <mruColors>
      <color rgb="FFF9A66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 (1).xlsx]Pivot!Weekday Trend</c:name>
    <c:fmtId val="1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34838145231845"/>
          <c:y val="6.9444495908599663E-2"/>
          <c:w val="0.52656697527982954"/>
          <c:h val="0.84731481481481485"/>
        </c:manualLayout>
      </c:layout>
      <c:barChart>
        <c:barDir val="bar"/>
        <c:grouping val="clustered"/>
        <c:varyColors val="0"/>
        <c:ser>
          <c:idx val="0"/>
          <c:order val="0"/>
          <c:tx>
            <c:strRef>
              <c:f>Pivot!$F$24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Pivot!$E$25:$E$32</c:f>
              <c:strCache>
                <c:ptCount val="7"/>
                <c:pt idx="0">
                  <c:v>Monday</c:v>
                </c:pt>
                <c:pt idx="1">
                  <c:v>Tuesday</c:v>
                </c:pt>
                <c:pt idx="2">
                  <c:v>Wednesday</c:v>
                </c:pt>
                <c:pt idx="3">
                  <c:v>Thursday</c:v>
                </c:pt>
                <c:pt idx="4">
                  <c:v>Friday</c:v>
                </c:pt>
                <c:pt idx="5">
                  <c:v>Saturday</c:v>
                </c:pt>
                <c:pt idx="6">
                  <c:v>Sunday</c:v>
                </c:pt>
              </c:strCache>
            </c:strRef>
          </c:cat>
          <c:val>
            <c:numRef>
              <c:f>Pivot!$F$25:$F$32</c:f>
              <c:numCache>
                <c:formatCode>#,##0</c:formatCode>
                <c:ptCount val="7"/>
                <c:pt idx="0">
                  <c:v>24</c:v>
                </c:pt>
                <c:pt idx="1">
                  <c:v>44</c:v>
                </c:pt>
                <c:pt idx="2">
                  <c:v>36</c:v>
                </c:pt>
                <c:pt idx="3">
                  <c:v>33</c:v>
                </c:pt>
                <c:pt idx="4">
                  <c:v>29</c:v>
                </c:pt>
                <c:pt idx="5">
                  <c:v>24</c:v>
                </c:pt>
                <c:pt idx="6">
                  <c:v>28</c:v>
                </c:pt>
              </c:numCache>
            </c:numRef>
          </c:val>
          <c:extLst>
            <c:ext xmlns:c16="http://schemas.microsoft.com/office/drawing/2014/chart" uri="{C3380CC4-5D6E-409C-BE32-E72D297353CC}">
              <c16:uniqueId val="{00000000-9F7F-4427-BEB7-A6AA53AD3984}"/>
            </c:ext>
          </c:extLst>
        </c:ser>
        <c:dLbls>
          <c:showLegendKey val="0"/>
          <c:showVal val="0"/>
          <c:showCatName val="0"/>
          <c:showSerName val="0"/>
          <c:showPercent val="0"/>
          <c:showBubbleSize val="0"/>
        </c:dLbls>
        <c:gapWidth val="25"/>
        <c:axId val="1628007823"/>
        <c:axId val="1628000335"/>
      </c:barChart>
      <c:catAx>
        <c:axId val="1628007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000335"/>
        <c:crosses val="autoZero"/>
        <c:auto val="1"/>
        <c:lblAlgn val="ctr"/>
        <c:lblOffset val="100"/>
        <c:noMultiLvlLbl val="0"/>
      </c:catAx>
      <c:valAx>
        <c:axId val="1628000335"/>
        <c:scaling>
          <c:orientation val="minMax"/>
        </c:scaling>
        <c:delete val="1"/>
        <c:axPos val="b"/>
        <c:numFmt formatCode="#,##0" sourceLinked="1"/>
        <c:majorTickMark val="out"/>
        <c:minorTickMark val="none"/>
        <c:tickLblPos val="nextTo"/>
        <c:crossAx val="1628007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 (1).xlsx]Pivot!Monthly Trend</c:name>
    <c:fmtId val="6"/>
  </c:pivotSource>
  <c:chart>
    <c:title>
      <c:tx>
        <c:rich>
          <a:bodyPr rot="0" spcFirstLastPara="1" vertOverflow="ellipsis" vert="horz" wrap="square" anchor="ctr" anchorCtr="1"/>
          <a:lstStyle/>
          <a:p>
            <a:pPr>
              <a:defRPr sz="1600" b="1" i="0" u="none" strike="noStrike" kern="1200" cap="none" spc="20" baseline="0">
                <a:solidFill>
                  <a:schemeClr val="accent5"/>
                </a:solidFill>
                <a:latin typeface="+mj-lt"/>
                <a:ea typeface="+mn-ea"/>
                <a:cs typeface="+mn-cs"/>
              </a:defRPr>
            </a:pPr>
            <a:r>
              <a:rPr lang="en-IN" sz="1600" b="1">
                <a:solidFill>
                  <a:schemeClr val="accent5"/>
                </a:solidFill>
                <a:latin typeface="+mj-lt"/>
              </a:rPr>
              <a:t>Call</a:t>
            </a:r>
            <a:r>
              <a:rPr lang="en-IN" sz="1600" b="1" baseline="0">
                <a:solidFill>
                  <a:schemeClr val="accent5"/>
                </a:solidFill>
                <a:latin typeface="+mj-lt"/>
              </a:rPr>
              <a:t> Trend</a:t>
            </a:r>
            <a:endParaRPr lang="en-IN" sz="1600" b="1">
              <a:solidFill>
                <a:schemeClr val="accent5"/>
              </a:solidFill>
              <a:latin typeface="+mj-lt"/>
            </a:endParaRPr>
          </a:p>
        </c:rich>
      </c:tx>
      <c:layout>
        <c:manualLayout>
          <c:xMode val="edge"/>
          <c:yMode val="edge"/>
          <c:x val="7.5895669291338577E-2"/>
          <c:y val="3.7037037037037035E-2"/>
        </c:manualLayout>
      </c:layout>
      <c:overlay val="0"/>
      <c:spPr>
        <a:noFill/>
        <a:ln>
          <a:noFill/>
        </a:ln>
        <a:effectLst/>
      </c:spPr>
      <c:txPr>
        <a:bodyPr rot="0" spcFirstLastPara="1" vertOverflow="ellipsis" vert="horz" wrap="square" anchor="ctr" anchorCtr="1"/>
        <a:lstStyle/>
        <a:p>
          <a:pPr>
            <a:defRPr sz="1600" b="1" i="0" u="none" strike="noStrike" kern="1200" cap="none" spc="20" baseline="0">
              <a:solidFill>
                <a:schemeClr val="accent5"/>
              </a:solidFill>
              <a:latin typeface="+mj-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
        <c:idx val="7"/>
        <c:spPr>
          <a:gradFill flip="none" rotWithShape="1">
            <a:gsLst>
              <a:gs pos="0">
                <a:schemeClr val="accent6">
                  <a:lumMod val="40000"/>
                  <a:lumOff val="60000"/>
                  <a:alpha val="50000"/>
                </a:schemeClr>
              </a:gs>
              <a:gs pos="100000">
                <a:schemeClr val="accent6"/>
              </a:gs>
            </a:gsLst>
            <a:lin ang="16200000" scaled="1"/>
            <a:tileRect/>
          </a:gradFill>
          <a:ln w="9525" cap="flat" cmpd="sng" algn="ctr">
            <a:solidFill>
              <a:schemeClr val="accent1">
                <a:shade val="95000"/>
              </a:schemeClr>
            </a:solidFill>
            <a:round/>
          </a:ln>
          <a:effectLst/>
        </c:spPr>
        <c:marker>
          <c:symbol val="none"/>
        </c:marker>
      </c:pivotFmt>
      <c:pivotFmt>
        <c:idx val="8"/>
        <c:spPr>
          <a:ln w="15875" cap="rnd">
            <a:solidFill>
              <a:schemeClr val="accent6"/>
            </a:solidFill>
            <a:round/>
          </a:ln>
          <a:effectLst/>
        </c:spPr>
        <c:marker>
          <c:symbol val="circle"/>
          <c:size val="7"/>
          <c:spPr>
            <a:solidFill>
              <a:schemeClr val="bg1"/>
            </a:solidFill>
            <a:ln w="25400" cap="flat" cmpd="sng" algn="ctr">
              <a:solidFill>
                <a:schemeClr val="tx1"/>
              </a:solidFill>
              <a:round/>
            </a:ln>
            <a:effectLst/>
          </c:spPr>
        </c:marker>
      </c:pivotFmt>
    </c:pivotFmts>
    <c:plotArea>
      <c:layout/>
      <c:areaChart>
        <c:grouping val="standard"/>
        <c:varyColors val="0"/>
        <c:ser>
          <c:idx val="1"/>
          <c:order val="1"/>
          <c:tx>
            <c:strRef>
              <c:f>Pivot!$C$24</c:f>
              <c:strCache>
                <c:ptCount val="1"/>
                <c:pt idx="0">
                  <c:v>Call Count2</c:v>
                </c:pt>
              </c:strCache>
            </c:strRef>
          </c:tx>
          <c:spPr>
            <a:gradFill flip="none" rotWithShape="1">
              <a:gsLst>
                <a:gs pos="0">
                  <a:schemeClr val="accent6">
                    <a:lumMod val="40000"/>
                    <a:lumOff val="60000"/>
                    <a:alpha val="50000"/>
                  </a:schemeClr>
                </a:gs>
                <a:gs pos="100000">
                  <a:schemeClr val="accent6"/>
                </a:gs>
              </a:gsLst>
              <a:lin ang="16200000" scaled="1"/>
              <a:tileRect/>
            </a:gradFill>
            <a:ln w="9525" cap="flat" cmpd="sng" algn="ctr">
              <a:solidFill>
                <a:schemeClr val="accent2">
                  <a:shade val="95000"/>
                </a:schemeClr>
              </a:solidFill>
              <a:round/>
            </a:ln>
            <a:effectLst/>
          </c:spP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Pivot!$C$25:$C$37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4894-48E8-9B07-45B2072B39ED}"/>
            </c:ext>
          </c:extLst>
        </c:ser>
        <c:dLbls>
          <c:showLegendKey val="0"/>
          <c:showVal val="0"/>
          <c:showCatName val="0"/>
          <c:showSerName val="0"/>
          <c:showPercent val="0"/>
          <c:showBubbleSize val="0"/>
        </c:dLbls>
        <c:axId val="1567253935"/>
        <c:axId val="1567256847"/>
      </c:areaChart>
      <c:lineChart>
        <c:grouping val="standard"/>
        <c:varyColors val="0"/>
        <c:ser>
          <c:idx val="0"/>
          <c:order val="0"/>
          <c:tx>
            <c:strRef>
              <c:f>Pivot!$B$24</c:f>
              <c:strCache>
                <c:ptCount val="1"/>
                <c:pt idx="0">
                  <c:v>Call Count</c:v>
                </c:pt>
              </c:strCache>
            </c:strRef>
          </c:tx>
          <c:spPr>
            <a:ln w="15875" cap="rnd">
              <a:solidFill>
                <a:schemeClr val="accent6"/>
              </a:solidFill>
              <a:round/>
            </a:ln>
            <a:effectLst/>
          </c:spPr>
          <c:marker>
            <c:symbol val="circle"/>
            <c:size val="7"/>
            <c:spPr>
              <a:solidFill>
                <a:schemeClr val="bg1"/>
              </a:solidFill>
              <a:ln w="25400" cap="flat" cmpd="sng" algn="ctr">
                <a:solidFill>
                  <a:schemeClr val="tx1"/>
                </a:solidFill>
                <a:round/>
              </a:ln>
              <a:effectLst/>
            </c:spPr>
          </c:marke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Pivot!$B$25:$B$37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4894-48E8-9B07-45B2072B39ED}"/>
            </c:ext>
          </c:extLst>
        </c:ser>
        <c:dLbls>
          <c:showLegendKey val="0"/>
          <c:showVal val="0"/>
          <c:showCatName val="0"/>
          <c:showSerName val="0"/>
          <c:showPercent val="0"/>
          <c:showBubbleSize val="0"/>
        </c:dLbls>
        <c:marker val="1"/>
        <c:smooth val="0"/>
        <c:axId val="1567253935"/>
        <c:axId val="1567256847"/>
      </c:lineChart>
      <c:catAx>
        <c:axId val="1567253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67256847"/>
        <c:crosses val="autoZero"/>
        <c:auto val="1"/>
        <c:lblAlgn val="ctr"/>
        <c:lblOffset val="100"/>
        <c:noMultiLvlLbl val="0"/>
      </c:catAx>
      <c:valAx>
        <c:axId val="1567256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67253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IN" sz="1400" b="1">
                <a:solidFill>
                  <a:srgbClr val="FFC000"/>
                </a:solidFill>
              </a:rPr>
              <a:t>Calls</a:t>
            </a:r>
            <a:endParaRPr lang="en-IN" b="1">
              <a:solidFill>
                <a:srgbClr val="FFC000"/>
              </a:solidFill>
            </a:endParaRPr>
          </a:p>
        </c:rich>
      </c:tx>
      <c:layout>
        <c:manualLayout>
          <c:xMode val="edge"/>
          <c:yMode val="edge"/>
          <c:x val="0.1057629641608451"/>
          <c:y val="3.28349487955778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Pivot!$E$51:$E$55</c:f>
              <c:strCache>
                <c:ptCount val="5"/>
                <c:pt idx="0">
                  <c:v>R01</c:v>
                </c:pt>
                <c:pt idx="1">
                  <c:v>R02</c:v>
                </c:pt>
                <c:pt idx="2">
                  <c:v>R03</c:v>
                </c:pt>
                <c:pt idx="3">
                  <c:v>R04</c:v>
                </c:pt>
                <c:pt idx="4">
                  <c:v>R05</c:v>
                </c:pt>
              </c:strCache>
            </c:strRef>
          </c:cat>
          <c:val>
            <c:numRef>
              <c:f>Pivot!$F$51:$F$55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3FB-4022-B7B2-76DF6E41102B}"/>
            </c:ext>
          </c:extLst>
        </c:ser>
        <c:ser>
          <c:idx val="1"/>
          <c:order val="1"/>
          <c:tx>
            <c:strRef>
              <c:f>Pivot!$H$51:$H$55</c:f>
              <c:strCache>
                <c:ptCount val="5"/>
                <c:pt idx="0">
                  <c:v>#N/A</c:v>
                </c:pt>
                <c:pt idx="1">
                  <c:v>218</c:v>
                </c:pt>
                <c:pt idx="2">
                  <c:v>#N/A</c:v>
                </c:pt>
                <c:pt idx="3">
                  <c:v>#N/A</c:v>
                </c:pt>
                <c:pt idx="4">
                  <c:v>#N/A</c:v>
                </c:pt>
              </c:strCache>
            </c:strRef>
          </c:tx>
          <c:spPr>
            <a:gradFill flip="none" rotWithShape="1">
              <a:gsLst>
                <a:gs pos="0">
                  <a:schemeClr val="accent5"/>
                </a:gs>
                <a:gs pos="100000">
                  <a:srgbClr val="F9A661"/>
                </a:gs>
              </a:gsLst>
              <a:lin ang="10800000" scaled="1"/>
              <a:tileRect/>
            </a:gradFill>
            <a:ln>
              <a:noFill/>
            </a:ln>
            <a:effectLst/>
          </c:spPr>
          <c:invertIfNegative val="0"/>
          <c:dLbls>
            <c:delete val="1"/>
          </c:dLbls>
          <c:val>
            <c:numRef>
              <c:f>Pivot!$H$51:$H$55</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A3FB-4022-B7B2-76DF6E41102B}"/>
            </c:ext>
          </c:extLst>
        </c:ser>
        <c:dLbls>
          <c:dLblPos val="outEnd"/>
          <c:showLegendKey val="0"/>
          <c:showVal val="1"/>
          <c:showCatName val="0"/>
          <c:showSerName val="0"/>
          <c:showPercent val="0"/>
          <c:showBubbleSize val="0"/>
        </c:dLbls>
        <c:gapWidth val="25"/>
        <c:overlap val="100"/>
        <c:axId val="568783808"/>
        <c:axId val="568787552"/>
      </c:barChart>
      <c:catAx>
        <c:axId val="5687838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87552"/>
        <c:crosses val="autoZero"/>
        <c:auto val="1"/>
        <c:lblAlgn val="ctr"/>
        <c:lblOffset val="100"/>
        <c:noMultiLvlLbl val="0"/>
      </c:catAx>
      <c:valAx>
        <c:axId val="568787552"/>
        <c:scaling>
          <c:orientation val="minMax"/>
          <c:min val="0"/>
        </c:scaling>
        <c:delete val="1"/>
        <c:axPos val="t"/>
        <c:numFmt formatCode="General" sourceLinked="1"/>
        <c:majorTickMark val="out"/>
        <c:minorTickMark val="none"/>
        <c:tickLblPos val="nextTo"/>
        <c:crossAx val="568783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IN" b="1">
                <a:solidFill>
                  <a:schemeClr val="accent6"/>
                </a:solidFill>
              </a:rPr>
              <a:t>Amount</a:t>
            </a:r>
          </a:p>
        </c:rich>
      </c:tx>
      <c:layout>
        <c:manualLayout>
          <c:xMode val="edge"/>
          <c:yMode val="edge"/>
          <c:x val="6.8251421687732516E-2"/>
          <c:y val="1.40721209123905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lotArea>
      <c:layout>
        <c:manualLayout>
          <c:layoutTarget val="inner"/>
          <c:xMode val="edge"/>
          <c:yMode val="edge"/>
          <c:x val="4.8491124095353E-2"/>
          <c:y val="0.13133979518231154"/>
          <c:w val="0.91277501919441106"/>
          <c:h val="0.81706242813892327"/>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Pivot!$E$51:$E$55</c:f>
              <c:strCache>
                <c:ptCount val="5"/>
                <c:pt idx="0">
                  <c:v>R01</c:v>
                </c:pt>
                <c:pt idx="1">
                  <c:v>R02</c:v>
                </c:pt>
                <c:pt idx="2">
                  <c:v>R03</c:v>
                </c:pt>
                <c:pt idx="3">
                  <c:v>R04</c:v>
                </c:pt>
                <c:pt idx="4">
                  <c:v>R05</c:v>
                </c:pt>
              </c:strCache>
            </c:strRef>
          </c:cat>
          <c:val>
            <c:numRef>
              <c:f>Pivot!$G$51:$G$55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D6F-4175-A4F1-443F2177BE7E}"/>
            </c:ext>
          </c:extLst>
        </c:ser>
        <c:ser>
          <c:idx val="1"/>
          <c:order val="1"/>
          <c:tx>
            <c:strRef>
              <c:f>Pivot!$I$50</c:f>
              <c:strCache>
                <c:ptCount val="1"/>
                <c:pt idx="0">
                  <c:v>Sel.Amount</c:v>
                </c:pt>
              </c:strCache>
            </c:strRef>
          </c:tx>
          <c:spPr>
            <a:gradFill>
              <a:gsLst>
                <a:gs pos="0">
                  <a:schemeClr val="accent6">
                    <a:lumMod val="60000"/>
                    <a:lumOff val="40000"/>
                  </a:schemeClr>
                </a:gs>
                <a:gs pos="100000">
                  <a:schemeClr val="accent6"/>
                </a:gs>
              </a:gsLst>
              <a:lin ang="0" scaled="1"/>
            </a:gradFill>
            <a:ln>
              <a:noFill/>
            </a:ln>
            <a:effectLst/>
          </c:spPr>
          <c:invertIfNegative val="0"/>
          <c:dLbls>
            <c:delete val="1"/>
          </c:dLbls>
          <c:val>
            <c:numRef>
              <c:f>Pivot!$I$51:$I$55</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CD6F-4175-A4F1-443F2177BE7E}"/>
            </c:ext>
          </c:extLst>
        </c:ser>
        <c:dLbls>
          <c:dLblPos val="outEnd"/>
          <c:showLegendKey val="0"/>
          <c:showVal val="1"/>
          <c:showCatName val="0"/>
          <c:showSerName val="0"/>
          <c:showPercent val="0"/>
          <c:showBubbleSize val="0"/>
        </c:dLbls>
        <c:gapWidth val="25"/>
        <c:overlap val="100"/>
        <c:axId val="568783808"/>
        <c:axId val="568787552"/>
      </c:barChart>
      <c:catAx>
        <c:axId val="568783808"/>
        <c:scaling>
          <c:orientation val="maxMin"/>
        </c:scaling>
        <c:delete val="1"/>
        <c:axPos val="l"/>
        <c:numFmt formatCode="General" sourceLinked="1"/>
        <c:majorTickMark val="none"/>
        <c:minorTickMark val="none"/>
        <c:tickLblPos val="nextTo"/>
        <c:crossAx val="568787552"/>
        <c:crosses val="autoZero"/>
        <c:auto val="1"/>
        <c:lblAlgn val="ctr"/>
        <c:lblOffset val="100"/>
        <c:noMultiLvlLbl val="0"/>
      </c:catAx>
      <c:valAx>
        <c:axId val="568787552"/>
        <c:scaling>
          <c:orientation val="minMax"/>
        </c:scaling>
        <c:delete val="1"/>
        <c:axPos val="t"/>
        <c:numFmt formatCode="\$#,###.0,&quot;k&quot;" sourceLinked="1"/>
        <c:majorTickMark val="none"/>
        <c:minorTickMark val="none"/>
        <c:tickLblPos val="nextTo"/>
        <c:crossAx val="5687838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 (1).xlsx]Pivot!PivotTable9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C000"/>
                </a:solidFill>
              </a:rPr>
              <a:t>Female</a:t>
            </a:r>
            <a:r>
              <a:rPr lang="en-IN" b="1" baseline="0"/>
              <a:t> vs </a:t>
            </a:r>
            <a:r>
              <a:rPr lang="en-IN" b="1" baseline="0">
                <a:solidFill>
                  <a:schemeClr val="bg2"/>
                </a:solidFill>
              </a:rPr>
              <a:t>Male</a:t>
            </a:r>
            <a:r>
              <a:rPr lang="en-IN" b="1" baseline="0"/>
              <a:t> 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9A661"/>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2">
              <a:lumMod val="60000"/>
              <a:lumOff val="40000"/>
            </a:schemeClr>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Pivot!$B$91:$B$92</c:f>
              <c:strCache>
                <c:ptCount val="1"/>
                <c:pt idx="0">
                  <c:v>Female</c:v>
                </c:pt>
              </c:strCache>
            </c:strRef>
          </c:tx>
          <c:spPr>
            <a:solidFill>
              <a:srgbClr val="F9A661"/>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Pivot!$A$93:$A$96</c:f>
              <c:strCache>
                <c:ptCount val="3"/>
                <c:pt idx="0">
                  <c:v>Cincinnati</c:v>
                </c:pt>
                <c:pt idx="1">
                  <c:v>Cleveland</c:v>
                </c:pt>
                <c:pt idx="2">
                  <c:v>Columbus</c:v>
                </c:pt>
              </c:strCache>
            </c:strRef>
          </c:cat>
          <c:val>
            <c:numRef>
              <c:f>Pivot!$B$93:$B$96</c:f>
              <c:numCache>
                <c:formatCode>#,##0</c:formatCode>
                <c:ptCount val="3"/>
                <c:pt idx="0">
                  <c:v>144</c:v>
                </c:pt>
                <c:pt idx="1">
                  <c:v>326</c:v>
                </c:pt>
                <c:pt idx="2">
                  <c:v>129</c:v>
                </c:pt>
              </c:numCache>
            </c:numRef>
          </c:val>
          <c:extLst>
            <c:ext xmlns:c16="http://schemas.microsoft.com/office/drawing/2014/chart" uri="{C3380CC4-5D6E-409C-BE32-E72D297353CC}">
              <c16:uniqueId val="{00000000-588F-44D6-BB91-0F4C129DC997}"/>
            </c:ext>
          </c:extLst>
        </c:ser>
        <c:ser>
          <c:idx val="1"/>
          <c:order val="1"/>
          <c:tx>
            <c:strRef>
              <c:f>Pivot!$C$91:$C$92</c:f>
              <c:strCache>
                <c:ptCount val="1"/>
                <c:pt idx="0">
                  <c:v>Male</c:v>
                </c:pt>
              </c:strCache>
            </c:strRef>
          </c:tx>
          <c:spPr>
            <a:solidFill>
              <a:schemeClr val="accent2">
                <a:lumMod val="60000"/>
                <a:lumOff val="40000"/>
              </a:schemeClr>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Pivot!$A$93:$A$96</c:f>
              <c:strCache>
                <c:ptCount val="3"/>
                <c:pt idx="0">
                  <c:v>Cincinnati</c:v>
                </c:pt>
                <c:pt idx="1">
                  <c:v>Cleveland</c:v>
                </c:pt>
                <c:pt idx="2">
                  <c:v>Columbus</c:v>
                </c:pt>
              </c:strCache>
            </c:strRef>
          </c:cat>
          <c:val>
            <c:numRef>
              <c:f>Pivot!$C$93:$C$96</c:f>
              <c:numCache>
                <c:formatCode>#,##0</c:formatCode>
                <c:ptCount val="3"/>
                <c:pt idx="0">
                  <c:v>132</c:v>
                </c:pt>
                <c:pt idx="1">
                  <c:v>63</c:v>
                </c:pt>
                <c:pt idx="2">
                  <c:v>206</c:v>
                </c:pt>
              </c:numCache>
            </c:numRef>
          </c:val>
          <c:extLst>
            <c:ext xmlns:c16="http://schemas.microsoft.com/office/drawing/2014/chart" uri="{C3380CC4-5D6E-409C-BE32-E72D297353CC}">
              <c16:uniqueId val="{00000001-588F-44D6-BB91-0F4C129DC997}"/>
            </c:ext>
          </c:extLst>
        </c:ser>
        <c:dLbls>
          <c:dLblPos val="ctr"/>
          <c:showLegendKey val="0"/>
          <c:showVal val="1"/>
          <c:showCatName val="0"/>
          <c:showSerName val="0"/>
          <c:showPercent val="0"/>
          <c:showBubbleSize val="0"/>
        </c:dLbls>
        <c:gapWidth val="25"/>
        <c:overlap val="100"/>
        <c:axId val="558593696"/>
        <c:axId val="558584544"/>
      </c:barChart>
      <c:catAx>
        <c:axId val="5585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84544"/>
        <c:crosses val="autoZero"/>
        <c:auto val="1"/>
        <c:lblAlgn val="ctr"/>
        <c:lblOffset val="100"/>
        <c:noMultiLvlLbl val="0"/>
      </c:catAx>
      <c:valAx>
        <c:axId val="558584544"/>
        <c:scaling>
          <c:orientation val="minMax"/>
        </c:scaling>
        <c:delete val="1"/>
        <c:axPos val="l"/>
        <c:numFmt formatCode="0%" sourceLinked="1"/>
        <c:majorTickMark val="none"/>
        <c:minorTickMark val="none"/>
        <c:tickLblPos val="nextTo"/>
        <c:crossAx val="558593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 (1).xlsx]Pivot!Rep Satisfaction</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cap="none" spc="0" baseline="0">
                <a:ln w="0"/>
                <a:solidFill>
                  <a:schemeClr val="accent1"/>
                </a:solidFill>
                <a:effectLst>
                  <a:outerShdw blurRad="38100" dist="25400" dir="5400000" algn="ctr" rotWithShape="0">
                    <a:srgbClr val="6E747A">
                      <a:alpha val="43000"/>
                    </a:srgbClr>
                  </a:outerShdw>
                </a:effectLst>
              </a:rPr>
              <a:t>Rating</a:t>
            </a:r>
            <a:endParaRPr lang="en-US" sz="1800" b="1" baseline="0"/>
          </a:p>
        </c:rich>
      </c:tx>
      <c:layout>
        <c:manualLayout>
          <c:xMode val="edge"/>
          <c:yMode val="edge"/>
          <c:x val="0.36522290338244012"/>
          <c:y val="3.7198485406550887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pivotFmt>
    </c:pivotFmts>
    <c:plotArea>
      <c:layout/>
      <c:barChart>
        <c:barDir val="col"/>
        <c:grouping val="clustered"/>
        <c:varyColors val="0"/>
        <c:ser>
          <c:idx val="0"/>
          <c:order val="0"/>
          <c:tx>
            <c:strRef>
              <c:f>Pivot!$B$101</c:f>
              <c:strCache>
                <c:ptCount val="1"/>
                <c:pt idx="0">
                  <c:v>Total</c:v>
                </c:pt>
              </c:strCache>
            </c:strRef>
          </c:tx>
          <c:spPr>
            <a:solidFill>
              <a:srgbClr val="0070C0"/>
            </a:solidFill>
            <a:ln>
              <a:noFill/>
            </a:ln>
            <a:effectLst/>
          </c:spPr>
          <c:invertIfNegative val="0"/>
          <c:cat>
            <c:strRef>
              <c:f>Pivot!$A$102:$A$107</c:f>
              <c:strCache>
                <c:ptCount val="5"/>
                <c:pt idx="0">
                  <c:v>1</c:v>
                </c:pt>
                <c:pt idx="1">
                  <c:v>2</c:v>
                </c:pt>
                <c:pt idx="2">
                  <c:v>3</c:v>
                </c:pt>
                <c:pt idx="3">
                  <c:v>4</c:v>
                </c:pt>
                <c:pt idx="4">
                  <c:v>5</c:v>
                </c:pt>
              </c:strCache>
            </c:strRef>
          </c:cat>
          <c:val>
            <c:numRef>
              <c:f>Pivot!$B$102:$B$107</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BB83-44C2-991D-83B602C0274A}"/>
            </c:ext>
          </c:extLst>
        </c:ser>
        <c:dLbls>
          <c:showLegendKey val="0"/>
          <c:showVal val="0"/>
          <c:showCatName val="0"/>
          <c:showSerName val="0"/>
          <c:showPercent val="0"/>
          <c:showBubbleSize val="0"/>
        </c:dLbls>
        <c:gapWidth val="15"/>
        <c:overlap val="-27"/>
        <c:axId val="558599936"/>
        <c:axId val="558588288"/>
      </c:barChart>
      <c:catAx>
        <c:axId val="558599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88288"/>
        <c:crosses val="autoZero"/>
        <c:auto val="1"/>
        <c:lblAlgn val="ctr"/>
        <c:lblOffset val="100"/>
        <c:noMultiLvlLbl val="0"/>
      </c:catAx>
      <c:valAx>
        <c:axId val="558588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99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9.png"/><Relationship Id="rId7" Type="http://schemas.openxmlformats.org/officeDocument/2006/relationships/image" Target="../media/image11.png"/><Relationship Id="rId12" Type="http://schemas.openxmlformats.org/officeDocument/2006/relationships/image" Target="../media/image8.sv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image" Target="../media/image2.svg"/><Relationship Id="rId4" Type="http://schemas.openxmlformats.org/officeDocument/2006/relationships/image" Target="../media/image10.svg"/><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20</xdr:row>
      <xdr:rowOff>161925</xdr:rowOff>
    </xdr:from>
    <xdr:to>
      <xdr:col>12</xdr:col>
      <xdr:colOff>590550</xdr:colOff>
      <xdr:row>30</xdr:row>
      <xdr:rowOff>3175</xdr:rowOff>
    </xdr:to>
    <mc:AlternateContent xmlns:mc="http://schemas.openxmlformats.org/markup-compatibility/2006" xmlns:a14="http://schemas.microsoft.com/office/drawing/2010/main">
      <mc:Choice Requires="a14">
        <xdr:graphicFrame macro="">
          <xdr:nvGraphicFramePr>
            <xdr:cNvPr id="37" name="Representative">
              <a:extLst>
                <a:ext uri="{FF2B5EF4-FFF2-40B4-BE49-F238E27FC236}">
                  <a16:creationId xmlns:a16="http://schemas.microsoft.com/office/drawing/2014/main" id="{00000000-0008-0000-0000-00002500000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506369" y="4089400"/>
              <a:ext cx="1069182" cy="1754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523876</xdr:colOff>
      <xdr:row>5</xdr:row>
      <xdr:rowOff>71436</xdr:rowOff>
    </xdr:from>
    <xdr:to>
      <xdr:col>14</xdr:col>
      <xdr:colOff>440531</xdr:colOff>
      <xdr:row>18</xdr:row>
      <xdr:rowOff>178592</xdr:rowOff>
    </xdr:to>
    <xdr:graphicFrame macro="">
      <xdr:nvGraphicFramePr>
        <xdr:cNvPr id="39" name="Chart 38">
          <a:extLst>
            <a:ext uri="{FF2B5EF4-FFF2-40B4-BE49-F238E27FC236}">
              <a16:creationId xmlns:a16="http://schemas.microsoft.com/office/drawing/2014/main" id="{00000000-0008-0000-0000-000027000000}"/>
            </a:ext>
            <a:ext uri="{147F2762-F138-4A5C-976F-8EAC2B608ADB}">
              <a16:predDERef xmlns:a16="http://schemas.microsoft.com/office/drawing/2014/main" pred="{00000000-0008-0000-00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xdr:row>
      <xdr:rowOff>38099</xdr:rowOff>
    </xdr:from>
    <xdr:to>
      <xdr:col>3</xdr:col>
      <xdr:colOff>502200</xdr:colOff>
      <xdr:row>8</xdr:row>
      <xdr:rowOff>180974</xdr:rowOff>
    </xdr:to>
    <xdr:sp macro="" textlink="Pivot!A4">
      <xdr:nvSpPr>
        <xdr:cNvPr id="2" name="Rectangle 1">
          <a:extLst>
            <a:ext uri="{FF2B5EF4-FFF2-40B4-BE49-F238E27FC236}">
              <a16:creationId xmlns:a16="http://schemas.microsoft.com/office/drawing/2014/main" id="{00000000-0008-0000-0000-000002000000}"/>
            </a:ext>
          </a:extLst>
        </xdr:cNvPr>
        <xdr:cNvSpPr/>
      </xdr:nvSpPr>
      <xdr:spPr>
        <a:xfrm>
          <a:off x="238125" y="761999"/>
          <a:ext cx="1188000" cy="866775"/>
        </a:xfrm>
        <a:prstGeom prst="rect">
          <a:avLst/>
        </a:prstGeom>
        <a:solidFill>
          <a:schemeClr val="accent6"/>
        </a:solidFill>
        <a:ln>
          <a:noFill/>
        </a:ln>
        <a:effectLst>
          <a:outerShdw blurRad="254000" dist="762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D810312-0BB9-41ED-9D81-70DA3D00ECE6}" type="TxLink">
            <a:rPr lang="en-US" sz="2400" b="1" i="0" u="none" strike="noStrike">
              <a:solidFill>
                <a:schemeClr val="bg1"/>
              </a:solidFill>
              <a:latin typeface="+mj-lt"/>
            </a:rPr>
            <a:pPr algn="ctr"/>
            <a:t>1,000</a:t>
          </a:fld>
          <a:endParaRPr lang="en-IN" sz="2400" b="1">
            <a:solidFill>
              <a:schemeClr val="bg1"/>
            </a:solidFill>
            <a:latin typeface="+mj-lt"/>
          </a:endParaRPr>
        </a:p>
      </xdr:txBody>
    </xdr:sp>
    <xdr:clientData/>
  </xdr:twoCellAnchor>
  <xdr:twoCellAnchor>
    <xdr:from>
      <xdr:col>2</xdr:col>
      <xdr:colOff>323850</xdr:colOff>
      <xdr:row>4</xdr:row>
      <xdr:rowOff>47625</xdr:rowOff>
    </xdr:from>
    <xdr:to>
      <xdr:col>3</xdr:col>
      <xdr:colOff>495300</xdr:colOff>
      <xdr:row>5</xdr:row>
      <xdr:rowOff>114300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61975" y="771525"/>
          <a:ext cx="857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latin typeface="+mj-lt"/>
            </a:rPr>
            <a:t>Calls</a:t>
          </a:r>
        </a:p>
      </xdr:txBody>
    </xdr:sp>
    <xdr:clientData/>
  </xdr:twoCellAnchor>
  <xdr:twoCellAnchor editAs="oneCell">
    <xdr:from>
      <xdr:col>2</xdr:col>
      <xdr:colOff>46489</xdr:colOff>
      <xdr:row>4</xdr:row>
      <xdr:rowOff>100981</xdr:rowOff>
    </xdr:from>
    <xdr:to>
      <xdr:col>2</xdr:col>
      <xdr:colOff>225170</xdr:colOff>
      <xdr:row>5</xdr:row>
      <xdr:rowOff>91461</xdr:rowOff>
    </xdr:to>
    <xdr:pic>
      <xdr:nvPicPr>
        <xdr:cNvPr id="4" name="Graphic 5" descr="Receiver with solid fill">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lum bright="70000" contrast="-70000"/>
          <a:extLst>
            <a:ext uri="{96DAC541-7B7A-43D3-8B79-37D633B846F1}">
              <asvg:svgBlip xmlns:asvg="http://schemas.microsoft.com/office/drawing/2016/SVG/main" r:embed="rId3"/>
            </a:ext>
          </a:extLst>
        </a:blip>
        <a:stretch>
          <a:fillRect/>
        </a:stretch>
      </xdr:blipFill>
      <xdr:spPr>
        <a:xfrm rot="768443">
          <a:off x="284614" y="824881"/>
          <a:ext cx="178681" cy="171455"/>
        </a:xfrm>
        <a:prstGeom prst="rect">
          <a:avLst/>
        </a:prstGeom>
        <a:ln>
          <a:noFill/>
        </a:ln>
        <a:effectLst>
          <a:outerShdw blurRad="50800" dist="50800" dir="5400000" algn="ctr" rotWithShape="0">
            <a:schemeClr val="accent6"/>
          </a:outerShdw>
        </a:effectLst>
      </xdr:spPr>
    </xdr:pic>
    <xdr:clientData/>
  </xdr:twoCellAnchor>
  <xdr:twoCellAnchor>
    <xdr:from>
      <xdr:col>2</xdr:col>
      <xdr:colOff>371475</xdr:colOff>
      <xdr:row>7</xdr:row>
      <xdr:rowOff>66675</xdr:rowOff>
    </xdr:from>
    <xdr:to>
      <xdr:col>3</xdr:col>
      <xdr:colOff>371475</xdr:colOff>
      <xdr:row>8</xdr:row>
      <xdr:rowOff>95250</xdr:rowOff>
    </xdr:to>
    <xdr:sp macro="" textlink="Pivot!A11">
      <xdr:nvSpPr>
        <xdr:cNvPr id="6" name="TextBox 5">
          <a:extLst>
            <a:ext uri="{FF2B5EF4-FFF2-40B4-BE49-F238E27FC236}">
              <a16:creationId xmlns:a16="http://schemas.microsoft.com/office/drawing/2014/main" id="{00000000-0008-0000-0000-000006000000}"/>
            </a:ext>
          </a:extLst>
        </xdr:cNvPr>
        <xdr:cNvSpPr txBox="1"/>
      </xdr:nvSpPr>
      <xdr:spPr>
        <a:xfrm>
          <a:off x="609600" y="1333500"/>
          <a:ext cx="6858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AD7B0D-979D-43BD-9232-2372D35CE618}" type="TxLink">
            <a:rPr lang="en-US" sz="1050" b="0" i="0" u="none" strike="noStrike">
              <a:solidFill>
                <a:schemeClr val="bg1">
                  <a:lumMod val="95000"/>
                </a:schemeClr>
              </a:solidFill>
              <a:latin typeface="Aptos"/>
            </a:rPr>
            <a:pPr/>
            <a:t>218</a:t>
          </a:fld>
          <a:endParaRPr lang="en-IN" sz="1050">
            <a:solidFill>
              <a:schemeClr val="bg1">
                <a:lumMod val="95000"/>
              </a:schemeClr>
            </a:solidFill>
          </a:endParaRPr>
        </a:p>
      </xdr:txBody>
    </xdr:sp>
    <xdr:clientData/>
  </xdr:twoCellAnchor>
  <xdr:twoCellAnchor>
    <xdr:from>
      <xdr:col>5</xdr:col>
      <xdr:colOff>323850</xdr:colOff>
      <xdr:row>4</xdr:row>
      <xdr:rowOff>9526</xdr:rowOff>
    </xdr:from>
    <xdr:to>
      <xdr:col>6</xdr:col>
      <xdr:colOff>495300</xdr:colOff>
      <xdr:row>5</xdr:row>
      <xdr:rowOff>76201</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619375" y="733426"/>
          <a:ext cx="857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latin typeface="+mj-lt"/>
            </a:rPr>
            <a:t>Calls</a:t>
          </a:r>
        </a:p>
      </xdr:txBody>
    </xdr:sp>
    <xdr:clientData/>
  </xdr:twoCellAnchor>
  <xdr:twoCellAnchor>
    <xdr:from>
      <xdr:col>2</xdr:col>
      <xdr:colOff>9525</xdr:colOff>
      <xdr:row>10</xdr:row>
      <xdr:rowOff>19050</xdr:rowOff>
    </xdr:from>
    <xdr:to>
      <xdr:col>3</xdr:col>
      <xdr:colOff>485775</xdr:colOff>
      <xdr:row>14</xdr:row>
      <xdr:rowOff>161925</xdr:rowOff>
    </xdr:to>
    <xdr:sp macro="" textlink="Pivot!B4">
      <xdr:nvSpPr>
        <xdr:cNvPr id="11" name="Rectangle 10">
          <a:extLst>
            <a:ext uri="{FF2B5EF4-FFF2-40B4-BE49-F238E27FC236}">
              <a16:creationId xmlns:a16="http://schemas.microsoft.com/office/drawing/2014/main" id="{00000000-0008-0000-0000-00000B000000}"/>
            </a:ext>
          </a:extLst>
        </xdr:cNvPr>
        <xdr:cNvSpPr/>
      </xdr:nvSpPr>
      <xdr:spPr>
        <a:xfrm>
          <a:off x="247650" y="1828800"/>
          <a:ext cx="1162050" cy="866775"/>
        </a:xfrm>
        <a:prstGeom prst="rect">
          <a:avLst/>
        </a:prstGeom>
        <a:solidFill>
          <a:schemeClr val="accent6"/>
        </a:solidFill>
        <a:ln>
          <a:noFill/>
        </a:ln>
        <a:effectLst>
          <a:outerShdw blurRad="254000" dist="762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E76E9F6-45F5-4434-A0F5-B19D850EE717}" type="TxLink">
            <a:rPr lang="en-US" sz="2000" b="1" i="0" u="none" strike="noStrike">
              <a:solidFill>
                <a:schemeClr val="bg1"/>
              </a:solidFill>
              <a:latin typeface="+mj-lt"/>
              <a:ea typeface="+mn-ea"/>
              <a:cs typeface="+mn-cs"/>
            </a:rPr>
            <a:pPr marL="0" indent="0" algn="ctr"/>
            <a:t>$96,623</a:t>
          </a:fld>
          <a:endParaRPr lang="en-IN" sz="2000" b="1" i="0" u="none" strike="noStrike">
            <a:solidFill>
              <a:schemeClr val="bg1"/>
            </a:solidFill>
            <a:latin typeface="+mj-lt"/>
            <a:ea typeface="+mn-ea"/>
            <a:cs typeface="+mn-cs"/>
          </a:endParaRPr>
        </a:p>
      </xdr:txBody>
    </xdr:sp>
    <xdr:clientData/>
  </xdr:twoCellAnchor>
  <xdr:twoCellAnchor>
    <xdr:from>
      <xdr:col>2</xdr:col>
      <xdr:colOff>266700</xdr:colOff>
      <xdr:row>10</xdr:row>
      <xdr:rowOff>28576</xdr:rowOff>
    </xdr:from>
    <xdr:to>
      <xdr:col>3</xdr:col>
      <xdr:colOff>438150</xdr:colOff>
      <xdr:row>11</xdr:row>
      <xdr:rowOff>95251</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504825" y="1838326"/>
          <a:ext cx="857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latin typeface="+mj-lt"/>
            </a:rPr>
            <a:t>Amount</a:t>
          </a:r>
        </a:p>
        <a:p>
          <a:endParaRPr lang="en-IN" sz="1100" b="1">
            <a:solidFill>
              <a:schemeClr val="bg1">
                <a:lumMod val="95000"/>
              </a:schemeClr>
            </a:solidFill>
            <a:latin typeface="+mj-lt"/>
          </a:endParaRPr>
        </a:p>
      </xdr:txBody>
    </xdr:sp>
    <xdr:clientData/>
  </xdr:twoCellAnchor>
  <xdr:twoCellAnchor>
    <xdr:from>
      <xdr:col>2</xdr:col>
      <xdr:colOff>260428</xdr:colOff>
      <xdr:row>13</xdr:row>
      <xdr:rowOff>55061</xdr:rowOff>
    </xdr:from>
    <xdr:to>
      <xdr:col>3</xdr:col>
      <xdr:colOff>260428</xdr:colOff>
      <xdr:row>14</xdr:row>
      <xdr:rowOff>83636</xdr:rowOff>
    </xdr:to>
    <xdr:sp macro="" textlink="Pivot!B11">
      <xdr:nvSpPr>
        <xdr:cNvPr id="14" name="TextBox 13">
          <a:extLst>
            <a:ext uri="{FF2B5EF4-FFF2-40B4-BE49-F238E27FC236}">
              <a16:creationId xmlns:a16="http://schemas.microsoft.com/office/drawing/2014/main" id="{00000000-0008-0000-0000-00000E000000}"/>
            </a:ext>
          </a:extLst>
        </xdr:cNvPr>
        <xdr:cNvSpPr txBox="1"/>
      </xdr:nvSpPr>
      <xdr:spPr>
        <a:xfrm>
          <a:off x="492745" y="2471159"/>
          <a:ext cx="685335" cy="21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FF8495-DFE5-45E0-B941-EA65985C8A3F}" type="TxLink">
            <a:rPr lang="en-US" sz="1050" b="0" i="0" u="none" strike="noStrike">
              <a:solidFill>
                <a:schemeClr val="bg1">
                  <a:lumMod val="95000"/>
                </a:schemeClr>
              </a:solidFill>
              <a:latin typeface="Aptos"/>
              <a:ea typeface="+mn-ea"/>
              <a:cs typeface="+mn-cs"/>
            </a:rPr>
            <a:pPr marL="0" indent="0"/>
            <a:t>$20,581</a:t>
          </a:fld>
          <a:endParaRPr lang="en-IN" sz="1050" b="0" i="0" u="none" strike="noStrike">
            <a:solidFill>
              <a:schemeClr val="bg1">
                <a:lumMod val="95000"/>
              </a:schemeClr>
            </a:solidFill>
            <a:latin typeface="Aptos"/>
            <a:ea typeface="+mn-ea"/>
            <a:cs typeface="+mn-cs"/>
          </a:endParaRPr>
        </a:p>
      </xdr:txBody>
    </xdr:sp>
    <xdr:clientData/>
  </xdr:twoCellAnchor>
  <xdr:twoCellAnchor>
    <xdr:from>
      <xdr:col>2</xdr:col>
      <xdr:colOff>0</xdr:colOff>
      <xdr:row>16</xdr:row>
      <xdr:rowOff>0</xdr:rowOff>
    </xdr:from>
    <xdr:to>
      <xdr:col>3</xdr:col>
      <xdr:colOff>476250</xdr:colOff>
      <xdr:row>20</xdr:row>
      <xdr:rowOff>142875</xdr:rowOff>
    </xdr:to>
    <xdr:sp macro="" textlink="Pivot!C4">
      <xdr:nvSpPr>
        <xdr:cNvPr id="19" name="Rectangle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E000000}"/>
            </a:ext>
          </a:extLst>
        </xdr:cNvPr>
        <xdr:cNvSpPr/>
      </xdr:nvSpPr>
      <xdr:spPr>
        <a:xfrm>
          <a:off x="238125" y="2895600"/>
          <a:ext cx="1162050" cy="866775"/>
        </a:xfrm>
        <a:prstGeom prst="rect">
          <a:avLst/>
        </a:prstGeom>
        <a:solidFill>
          <a:schemeClr val="accent6"/>
        </a:solidFill>
        <a:ln>
          <a:noFill/>
        </a:ln>
        <a:effectLst>
          <a:outerShdw blurRad="254000" dist="762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13E613-46E3-4F32-9B5E-32DA7A3E0261}" type="TxLink">
            <a:rPr lang="en-US" sz="2000" b="1" i="0" u="none" strike="noStrike">
              <a:solidFill>
                <a:schemeClr val="bg1"/>
              </a:solidFill>
              <a:latin typeface="+mj-lt"/>
              <a:ea typeface="+mn-ea"/>
              <a:cs typeface="+mn-cs"/>
            </a:rPr>
            <a:pPr marL="0" indent="0" algn="ctr"/>
            <a:t>89,850</a:t>
          </a:fld>
          <a:endParaRPr lang="en-IN" sz="2000" b="1" i="0" u="none" strike="noStrike">
            <a:solidFill>
              <a:schemeClr val="bg1"/>
            </a:solidFill>
            <a:latin typeface="+mj-lt"/>
            <a:ea typeface="+mn-ea"/>
            <a:cs typeface="+mn-cs"/>
          </a:endParaRPr>
        </a:p>
      </xdr:txBody>
    </xdr:sp>
    <xdr:clientData/>
  </xdr:twoCellAnchor>
  <xdr:twoCellAnchor>
    <xdr:from>
      <xdr:col>2</xdr:col>
      <xdr:colOff>276225</xdr:colOff>
      <xdr:row>16</xdr:row>
      <xdr:rowOff>38101</xdr:rowOff>
    </xdr:from>
    <xdr:to>
      <xdr:col>3</xdr:col>
      <xdr:colOff>447675</xdr:colOff>
      <xdr:row>17</xdr:row>
      <xdr:rowOff>104776</xdr:rowOff>
    </xdr:to>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514350" y="2933701"/>
          <a:ext cx="857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bg1">
                  <a:lumMod val="95000"/>
                </a:schemeClr>
              </a:solidFill>
              <a:latin typeface="+mj-lt"/>
            </a:rPr>
            <a:t>Duration</a:t>
          </a:r>
        </a:p>
        <a:p>
          <a:endParaRPr lang="en-IN" sz="1100" b="1">
            <a:solidFill>
              <a:schemeClr val="bg1">
                <a:lumMod val="95000"/>
              </a:schemeClr>
            </a:solidFill>
            <a:latin typeface="+mj-lt"/>
          </a:endParaRPr>
        </a:p>
      </xdr:txBody>
    </xdr:sp>
    <xdr:clientData/>
  </xdr:twoCellAnchor>
  <xdr:twoCellAnchor>
    <xdr:from>
      <xdr:col>2</xdr:col>
      <xdr:colOff>299457</xdr:colOff>
      <xdr:row>19</xdr:row>
      <xdr:rowOff>21141</xdr:rowOff>
    </xdr:from>
    <xdr:to>
      <xdr:col>3</xdr:col>
      <xdr:colOff>299457</xdr:colOff>
      <xdr:row>20</xdr:row>
      <xdr:rowOff>49716</xdr:rowOff>
    </xdr:to>
    <xdr:sp macro="" textlink="Pivot!C11">
      <xdr:nvSpPr>
        <xdr:cNvPr id="22" name="TextBox 21">
          <a:extLst>
            <a:ext uri="{FF2B5EF4-FFF2-40B4-BE49-F238E27FC236}">
              <a16:creationId xmlns:a16="http://schemas.microsoft.com/office/drawing/2014/main" id="{00000000-0008-0000-0000-000016000000}"/>
            </a:ext>
          </a:extLst>
        </xdr:cNvPr>
        <xdr:cNvSpPr txBox="1"/>
      </xdr:nvSpPr>
      <xdr:spPr>
        <a:xfrm>
          <a:off x="531774" y="3552361"/>
          <a:ext cx="685335" cy="21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494702-1174-47D1-B407-C3F0C83E8478}" type="TxLink">
            <a:rPr lang="en-US" sz="1050" b="0" i="0" u="none" strike="noStrike">
              <a:solidFill>
                <a:schemeClr val="bg1">
                  <a:lumMod val="95000"/>
                </a:schemeClr>
              </a:solidFill>
              <a:latin typeface="Aptos"/>
              <a:ea typeface="+mn-ea"/>
              <a:cs typeface="+mn-cs"/>
            </a:rPr>
            <a:pPr marL="0" indent="0"/>
            <a:t>19,300</a:t>
          </a:fld>
          <a:endParaRPr lang="en-IN" sz="1050" b="0" i="0" u="none" strike="noStrike">
            <a:solidFill>
              <a:schemeClr val="bg1">
                <a:lumMod val="95000"/>
              </a:schemeClr>
            </a:solidFill>
            <a:latin typeface="Aptos"/>
            <a:ea typeface="+mn-ea"/>
            <a:cs typeface="+mn-cs"/>
          </a:endParaRPr>
        </a:p>
      </xdr:txBody>
    </xdr:sp>
    <xdr:clientData/>
  </xdr:twoCellAnchor>
  <xdr:twoCellAnchor>
    <xdr:from>
      <xdr:col>2</xdr:col>
      <xdr:colOff>0</xdr:colOff>
      <xdr:row>22</xdr:row>
      <xdr:rowOff>0</xdr:rowOff>
    </xdr:from>
    <xdr:to>
      <xdr:col>3</xdr:col>
      <xdr:colOff>476250</xdr:colOff>
      <xdr:row>26</xdr:row>
      <xdr:rowOff>142875</xdr:rowOff>
    </xdr:to>
    <xdr:sp macro="" textlink="Pivot!D4">
      <xdr:nvSpPr>
        <xdr:cNvPr id="23" name="Rectangle 22">
          <a:extLst>
            <a:ext uri="{FF2B5EF4-FFF2-40B4-BE49-F238E27FC236}">
              <a16:creationId xmlns:a16="http://schemas.microsoft.com/office/drawing/2014/main" id="{00000000-0008-0000-0000-000017000000}"/>
            </a:ext>
          </a:extLst>
        </xdr:cNvPr>
        <xdr:cNvSpPr/>
      </xdr:nvSpPr>
      <xdr:spPr>
        <a:xfrm>
          <a:off x="238125" y="3981450"/>
          <a:ext cx="1162050" cy="866775"/>
        </a:xfrm>
        <a:prstGeom prst="rect">
          <a:avLst/>
        </a:prstGeom>
        <a:solidFill>
          <a:schemeClr val="accent6"/>
        </a:solidFill>
        <a:ln>
          <a:noFill/>
        </a:ln>
        <a:effectLst>
          <a:outerShdw blurRad="254000" dist="762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32768E6-8F79-4D9E-9E57-948CDC45FABB}" type="TxLink">
            <a:rPr lang="en-US" sz="2400" b="1" i="0" u="none" strike="noStrike">
              <a:solidFill>
                <a:schemeClr val="bg1"/>
              </a:solidFill>
              <a:latin typeface="+mj-lt"/>
              <a:ea typeface="+mn-ea"/>
              <a:cs typeface="+mn-cs"/>
            </a:rPr>
            <a:pPr marL="0" indent="0" algn="ctr"/>
            <a:t>3.9</a:t>
          </a:fld>
          <a:endParaRPr lang="en-IN" sz="2400" b="1" i="0" u="none" strike="noStrike">
            <a:solidFill>
              <a:schemeClr val="bg1"/>
            </a:solidFill>
            <a:latin typeface="+mj-lt"/>
            <a:ea typeface="+mn-ea"/>
            <a:cs typeface="+mn-cs"/>
          </a:endParaRPr>
        </a:p>
      </xdr:txBody>
    </xdr:sp>
    <xdr:clientData/>
  </xdr:twoCellAnchor>
  <xdr:twoCellAnchor>
    <xdr:from>
      <xdr:col>2</xdr:col>
      <xdr:colOff>219075</xdr:colOff>
      <xdr:row>22</xdr:row>
      <xdr:rowOff>9525</xdr:rowOff>
    </xdr:from>
    <xdr:to>
      <xdr:col>3</xdr:col>
      <xdr:colOff>400050</xdr:colOff>
      <xdr:row>23</xdr:row>
      <xdr:rowOff>123825</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457200" y="3990975"/>
          <a:ext cx="8667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lumMod val="95000"/>
                </a:schemeClr>
              </a:solidFill>
              <a:latin typeface="+mj-lt"/>
            </a:rPr>
            <a:t>Avg.Rating</a:t>
          </a:r>
        </a:p>
      </xdr:txBody>
    </xdr:sp>
    <xdr:clientData/>
  </xdr:twoCellAnchor>
  <xdr:twoCellAnchor>
    <xdr:from>
      <xdr:col>2</xdr:col>
      <xdr:colOff>361950</xdr:colOff>
      <xdr:row>25</xdr:row>
      <xdr:rowOff>85726</xdr:rowOff>
    </xdr:from>
    <xdr:to>
      <xdr:col>3</xdr:col>
      <xdr:colOff>361950</xdr:colOff>
      <xdr:row>26</xdr:row>
      <xdr:rowOff>114301</xdr:rowOff>
    </xdr:to>
    <xdr:sp macro="" textlink="Pivot!D11">
      <xdr:nvSpPr>
        <xdr:cNvPr id="26" name="TextBox 25">
          <a:extLst>
            <a:ext uri="{FF2B5EF4-FFF2-40B4-BE49-F238E27FC236}">
              <a16:creationId xmlns:a16="http://schemas.microsoft.com/office/drawing/2014/main" id="{00000000-0008-0000-0000-00001A000000}"/>
            </a:ext>
          </a:extLst>
        </xdr:cNvPr>
        <xdr:cNvSpPr txBox="1"/>
      </xdr:nvSpPr>
      <xdr:spPr>
        <a:xfrm>
          <a:off x="600075" y="4610101"/>
          <a:ext cx="6858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B9B2C2-69B9-40AE-A92D-F8BAFA427D45}" type="TxLink">
            <a:rPr lang="en-US" sz="1100" b="0" i="0" u="none" strike="noStrike">
              <a:solidFill>
                <a:schemeClr val="bg1">
                  <a:lumMod val="95000"/>
                </a:schemeClr>
              </a:solidFill>
              <a:latin typeface="Aptos"/>
              <a:ea typeface="+mn-ea"/>
              <a:cs typeface="+mn-cs"/>
            </a:rPr>
            <a:pPr marL="0" indent="0"/>
            <a:t>3.9</a:t>
          </a:fld>
          <a:endParaRPr lang="en-IN" sz="1100" b="0" i="0" u="none" strike="noStrike">
            <a:solidFill>
              <a:schemeClr val="bg1">
                <a:lumMod val="95000"/>
              </a:schemeClr>
            </a:solidFill>
            <a:latin typeface="Aptos"/>
            <a:ea typeface="+mn-ea"/>
            <a:cs typeface="+mn-cs"/>
          </a:endParaRPr>
        </a:p>
      </xdr:txBody>
    </xdr:sp>
    <xdr:clientData/>
  </xdr:twoCellAnchor>
  <xdr:twoCellAnchor>
    <xdr:from>
      <xdr:col>2</xdr:col>
      <xdr:colOff>323850</xdr:colOff>
      <xdr:row>29</xdr:row>
      <xdr:rowOff>9526</xdr:rowOff>
    </xdr:from>
    <xdr:to>
      <xdr:col>3</xdr:col>
      <xdr:colOff>495300</xdr:colOff>
      <xdr:row>30</xdr:row>
      <xdr:rowOff>76201</xdr:rowOff>
    </xdr:to>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561975" y="5257801"/>
          <a:ext cx="857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latin typeface="+mj-lt"/>
            </a:rPr>
            <a:t>Calls</a:t>
          </a:r>
        </a:p>
      </xdr:txBody>
    </xdr:sp>
    <xdr:clientData/>
  </xdr:twoCellAnchor>
  <xdr:twoCellAnchor>
    <xdr:from>
      <xdr:col>2</xdr:col>
      <xdr:colOff>361950</xdr:colOff>
      <xdr:row>32</xdr:row>
      <xdr:rowOff>85726</xdr:rowOff>
    </xdr:from>
    <xdr:to>
      <xdr:col>3</xdr:col>
      <xdr:colOff>361950</xdr:colOff>
      <xdr:row>33</xdr:row>
      <xdr:rowOff>114301</xdr:rowOff>
    </xdr:to>
    <xdr:sp macro="" textlink="Pivot!A11">
      <xdr:nvSpPr>
        <xdr:cNvPr id="30" name="TextBox 29">
          <a:extLst>
            <a:ext uri="{FF2B5EF4-FFF2-40B4-BE49-F238E27FC236}">
              <a16:creationId xmlns:a16="http://schemas.microsoft.com/office/drawing/2014/main" id="{00000000-0008-0000-0000-00001E000000}"/>
            </a:ext>
          </a:extLst>
        </xdr:cNvPr>
        <xdr:cNvSpPr txBox="1"/>
      </xdr:nvSpPr>
      <xdr:spPr>
        <a:xfrm>
          <a:off x="600075" y="5876926"/>
          <a:ext cx="6858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AD7B0D-979D-43BD-9232-2372D35CE618}" type="TxLink">
            <a:rPr lang="en-US" sz="1100" b="0" i="0" u="none" strike="noStrike">
              <a:solidFill>
                <a:schemeClr val="bg1">
                  <a:lumMod val="95000"/>
                </a:schemeClr>
              </a:solidFill>
              <a:latin typeface="Aptos"/>
            </a:rPr>
            <a:pPr/>
            <a:t>218</a:t>
          </a:fld>
          <a:endParaRPr lang="en-IN" sz="1100">
            <a:solidFill>
              <a:schemeClr val="bg1">
                <a:lumMod val="95000"/>
              </a:schemeClr>
            </a:solidFill>
          </a:endParaRPr>
        </a:p>
      </xdr:txBody>
    </xdr:sp>
    <xdr:clientData/>
  </xdr:twoCellAnchor>
  <xdr:twoCellAnchor>
    <xdr:from>
      <xdr:col>2</xdr:col>
      <xdr:colOff>0</xdr:colOff>
      <xdr:row>28</xdr:row>
      <xdr:rowOff>0</xdr:rowOff>
    </xdr:from>
    <xdr:to>
      <xdr:col>3</xdr:col>
      <xdr:colOff>476250</xdr:colOff>
      <xdr:row>32</xdr:row>
      <xdr:rowOff>142875</xdr:rowOff>
    </xdr:to>
    <xdr:sp macro="" textlink="Pivot!E4">
      <xdr:nvSpPr>
        <xdr:cNvPr id="31" name="Rectangle 30">
          <a:extLst>
            <a:ext uri="{FF2B5EF4-FFF2-40B4-BE49-F238E27FC236}">
              <a16:creationId xmlns:a16="http://schemas.microsoft.com/office/drawing/2014/main" id="{00000000-0008-0000-0000-00001F000000}"/>
            </a:ext>
          </a:extLst>
        </xdr:cNvPr>
        <xdr:cNvSpPr/>
      </xdr:nvSpPr>
      <xdr:spPr>
        <a:xfrm>
          <a:off x="238125" y="5067300"/>
          <a:ext cx="1162050" cy="866775"/>
        </a:xfrm>
        <a:prstGeom prst="rect">
          <a:avLst/>
        </a:prstGeom>
        <a:solidFill>
          <a:schemeClr val="accent6"/>
        </a:solidFill>
        <a:ln>
          <a:noFill/>
        </a:ln>
        <a:effectLst>
          <a:outerShdw blurRad="254000" dist="762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BC35324-1E80-48D1-A643-76EC6CF206BD}" type="TxLink">
            <a:rPr lang="en-US" sz="2400" b="1" i="0" u="none" strike="noStrike">
              <a:solidFill>
                <a:schemeClr val="bg1"/>
              </a:solidFill>
              <a:latin typeface="+mj-lt"/>
              <a:ea typeface="+mn-ea"/>
              <a:cs typeface="+mn-cs"/>
            </a:rPr>
            <a:pPr marL="0" indent="0" algn="ctr"/>
            <a:t>307</a:t>
          </a:fld>
          <a:endParaRPr lang="en-IN" sz="2400" b="1" i="0" u="none" strike="noStrike">
            <a:solidFill>
              <a:schemeClr val="bg1"/>
            </a:solidFill>
            <a:latin typeface="+mj-lt"/>
            <a:ea typeface="+mn-ea"/>
            <a:cs typeface="+mn-cs"/>
          </a:endParaRPr>
        </a:p>
      </xdr:txBody>
    </xdr:sp>
    <xdr:clientData/>
  </xdr:twoCellAnchor>
  <xdr:twoCellAnchor>
    <xdr:from>
      <xdr:col>2</xdr:col>
      <xdr:colOff>180975</xdr:colOff>
      <xdr:row>28</xdr:row>
      <xdr:rowOff>1</xdr:rowOff>
    </xdr:from>
    <xdr:to>
      <xdr:col>3</xdr:col>
      <xdr:colOff>657225</xdr:colOff>
      <xdr:row>29</xdr:row>
      <xdr:rowOff>66676</xdr:rowOff>
    </xdr:to>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419100" y="5067301"/>
          <a:ext cx="1162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lumMod val="95000"/>
                </a:schemeClr>
              </a:solidFill>
              <a:latin typeface="+mj-lt"/>
            </a:rPr>
            <a:t>Happy</a:t>
          </a:r>
          <a:r>
            <a:rPr lang="en-IN" sz="1000" b="1" baseline="0">
              <a:solidFill>
                <a:schemeClr val="bg1">
                  <a:lumMod val="95000"/>
                </a:schemeClr>
              </a:solidFill>
              <a:latin typeface="+mj-lt"/>
            </a:rPr>
            <a:t> Callers</a:t>
          </a:r>
          <a:endParaRPr lang="en-IN" sz="1000" b="1">
            <a:solidFill>
              <a:schemeClr val="bg1">
                <a:lumMod val="95000"/>
              </a:schemeClr>
            </a:solidFill>
            <a:latin typeface="+mj-lt"/>
          </a:endParaRPr>
        </a:p>
      </xdr:txBody>
    </xdr:sp>
    <xdr:clientData/>
  </xdr:twoCellAnchor>
  <xdr:twoCellAnchor>
    <xdr:from>
      <xdr:col>2</xdr:col>
      <xdr:colOff>390525</xdr:colOff>
      <xdr:row>31</xdr:row>
      <xdr:rowOff>76201</xdr:rowOff>
    </xdr:from>
    <xdr:to>
      <xdr:col>3</xdr:col>
      <xdr:colOff>390525</xdr:colOff>
      <xdr:row>32</xdr:row>
      <xdr:rowOff>104776</xdr:rowOff>
    </xdr:to>
    <xdr:sp macro="" textlink="Pivot!E11">
      <xdr:nvSpPr>
        <xdr:cNvPr id="34" name="TextBox 33">
          <a:extLst>
            <a:ext uri="{FF2B5EF4-FFF2-40B4-BE49-F238E27FC236}">
              <a16:creationId xmlns:a16="http://schemas.microsoft.com/office/drawing/2014/main" id="{00000000-0008-0000-0000-000022000000}"/>
            </a:ext>
          </a:extLst>
        </xdr:cNvPr>
        <xdr:cNvSpPr txBox="1"/>
      </xdr:nvSpPr>
      <xdr:spPr>
        <a:xfrm>
          <a:off x="628650" y="5686426"/>
          <a:ext cx="6858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EBAD9F-E131-4049-A8DC-D0EF62CE5AA0}" type="TxLink">
            <a:rPr lang="en-US" sz="1050" b="0" i="0" u="none" strike="noStrike">
              <a:solidFill>
                <a:schemeClr val="bg1">
                  <a:lumMod val="95000"/>
                </a:schemeClr>
              </a:solidFill>
              <a:latin typeface="Aptos"/>
              <a:ea typeface="+mn-ea"/>
              <a:cs typeface="+mn-cs"/>
            </a:rPr>
            <a:pPr marL="0" indent="0"/>
            <a:t>74</a:t>
          </a:fld>
          <a:endParaRPr lang="en-IN" sz="1050" b="0" i="0" u="none" strike="noStrike">
            <a:solidFill>
              <a:schemeClr val="bg1">
                <a:lumMod val="95000"/>
              </a:schemeClr>
            </a:solidFill>
            <a:latin typeface="Aptos"/>
            <a:ea typeface="+mn-ea"/>
            <a:cs typeface="+mn-cs"/>
          </a:endParaRPr>
        </a:p>
      </xdr:txBody>
    </xdr:sp>
    <xdr:clientData/>
  </xdr:twoCellAnchor>
  <xdr:twoCellAnchor editAs="oneCell">
    <xdr:from>
      <xdr:col>2</xdr:col>
      <xdr:colOff>36964</xdr:colOff>
      <xdr:row>10</xdr:row>
      <xdr:rowOff>53357</xdr:rowOff>
    </xdr:from>
    <xdr:to>
      <xdr:col>2</xdr:col>
      <xdr:colOff>284363</xdr:colOff>
      <xdr:row>11</xdr:row>
      <xdr:rowOff>104775</xdr:rowOff>
    </xdr:to>
    <xdr:pic>
      <xdr:nvPicPr>
        <xdr:cNvPr id="36" name="Graphic 3" descr="Shopping cart with solid fill">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4">
          <a:lum bright="70000" contrast="-70000"/>
          <a:extLst>
            <a:ext uri="{96DAC541-7B7A-43D3-8B79-37D633B846F1}">
              <asvg:svgBlip xmlns:asvg="http://schemas.microsoft.com/office/drawing/2016/SVG/main" r:embed="rId5"/>
            </a:ext>
          </a:extLst>
        </a:blip>
        <a:stretch>
          <a:fillRect/>
        </a:stretch>
      </xdr:blipFill>
      <xdr:spPr>
        <a:xfrm>
          <a:off x="275089" y="1863107"/>
          <a:ext cx="247399" cy="232393"/>
        </a:xfrm>
        <a:prstGeom prst="rect">
          <a:avLst/>
        </a:prstGeom>
        <a:ln>
          <a:noFill/>
        </a:ln>
        <a:effectLst>
          <a:outerShdw blurRad="50800" dist="50800" dir="5400000" algn="ctr" rotWithShape="0">
            <a:schemeClr val="accent6"/>
          </a:outerShdw>
        </a:effectLst>
      </xdr:spPr>
    </xdr:pic>
    <xdr:clientData/>
  </xdr:twoCellAnchor>
  <xdr:twoCellAnchor editAs="oneCell">
    <xdr:from>
      <xdr:col>2</xdr:col>
      <xdr:colOff>19050</xdr:colOff>
      <xdr:row>28</xdr:row>
      <xdr:rowOff>15584</xdr:rowOff>
    </xdr:from>
    <xdr:to>
      <xdr:col>2</xdr:col>
      <xdr:colOff>250970</xdr:colOff>
      <xdr:row>29</xdr:row>
      <xdr:rowOff>47626</xdr:rowOff>
    </xdr:to>
    <xdr:pic>
      <xdr:nvPicPr>
        <xdr:cNvPr id="27" name="Graphic 1" descr="Star-struck face outline with solid fill">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6">
          <a:lum bright="70000" contrast="-70000"/>
          <a:extLst>
            <a:ext uri="{96DAC541-7B7A-43D3-8B79-37D633B846F1}">
              <asvg:svgBlip xmlns:asvg="http://schemas.microsoft.com/office/drawing/2016/SVG/main" r:embed="rId7"/>
            </a:ext>
          </a:extLst>
        </a:blip>
        <a:stretch>
          <a:fillRect/>
        </a:stretch>
      </xdr:blipFill>
      <xdr:spPr>
        <a:xfrm>
          <a:off x="257175" y="5082884"/>
          <a:ext cx="231920" cy="222542"/>
        </a:xfrm>
        <a:prstGeom prst="rect">
          <a:avLst/>
        </a:prstGeom>
        <a:ln>
          <a:noFill/>
        </a:ln>
        <a:effectLst>
          <a:outerShdw blurRad="50800" dist="50800" dir="5400000" algn="ctr" rotWithShape="0">
            <a:schemeClr val="accent6"/>
          </a:outerShdw>
        </a:effectLst>
      </xdr:spPr>
    </xdr:pic>
    <xdr:clientData/>
  </xdr:twoCellAnchor>
  <xdr:twoCellAnchor editAs="oneCell">
    <xdr:from>
      <xdr:col>2</xdr:col>
      <xdr:colOff>9525</xdr:colOff>
      <xdr:row>21</xdr:row>
      <xdr:rowOff>161926</xdr:rowOff>
    </xdr:from>
    <xdr:to>
      <xdr:col>2</xdr:col>
      <xdr:colOff>304800</xdr:colOff>
      <xdr:row>23</xdr:row>
      <xdr:rowOff>83364</xdr:rowOff>
    </xdr:to>
    <xdr:pic>
      <xdr:nvPicPr>
        <xdr:cNvPr id="29" name="Graphic 6" descr="Rating Star with solid fill">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8">
          <a:lum bright="70000" contrast="-70000"/>
          <a:extLst>
            <a:ext uri="{96DAC541-7B7A-43D3-8B79-37D633B846F1}">
              <asvg:svgBlip xmlns:asvg="http://schemas.microsoft.com/office/drawing/2016/SVG/main" r:embed="rId9"/>
            </a:ext>
          </a:extLst>
        </a:blip>
        <a:srcRect/>
        <a:stretch/>
      </xdr:blipFill>
      <xdr:spPr>
        <a:xfrm>
          <a:off x="247650" y="3962401"/>
          <a:ext cx="295275" cy="283388"/>
        </a:xfrm>
        <a:prstGeom prst="rect">
          <a:avLst/>
        </a:prstGeom>
        <a:ln>
          <a:noFill/>
        </a:ln>
        <a:effectLst>
          <a:outerShdw blurRad="50800" dist="50800" dir="5400000" algn="ctr" rotWithShape="0">
            <a:schemeClr val="accent6"/>
          </a:outerShdw>
        </a:effectLst>
      </xdr:spPr>
    </xdr:pic>
    <xdr:clientData/>
  </xdr:twoCellAnchor>
  <xdr:twoCellAnchor editAs="oneCell">
    <xdr:from>
      <xdr:col>2</xdr:col>
      <xdr:colOff>9525</xdr:colOff>
      <xdr:row>16</xdr:row>
      <xdr:rowOff>47625</xdr:rowOff>
    </xdr:from>
    <xdr:to>
      <xdr:col>2</xdr:col>
      <xdr:colOff>228600</xdr:colOff>
      <xdr:row>17</xdr:row>
      <xdr:rowOff>81296</xdr:rowOff>
    </xdr:to>
    <xdr:pic>
      <xdr:nvPicPr>
        <xdr:cNvPr id="35" name="Graphic 2" descr="Hourglass Finished with solid fill">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0">
          <a:lum bright="70000" contrast="-70000"/>
          <a:extLst>
            <a:ext uri="{96DAC541-7B7A-43D3-8B79-37D633B846F1}">
              <asvg:svgBlip xmlns:asvg="http://schemas.microsoft.com/office/drawing/2016/SVG/main" r:embed="rId11"/>
            </a:ext>
          </a:extLst>
        </a:blip>
        <a:stretch>
          <a:fillRect/>
        </a:stretch>
      </xdr:blipFill>
      <xdr:spPr>
        <a:xfrm>
          <a:off x="247650" y="2943225"/>
          <a:ext cx="219075" cy="214646"/>
        </a:xfrm>
        <a:prstGeom prst="rect">
          <a:avLst/>
        </a:prstGeom>
        <a:ln>
          <a:noFill/>
        </a:ln>
        <a:effectLst>
          <a:outerShdw blurRad="50800" dist="50800" dir="5400000" algn="ctr" rotWithShape="0">
            <a:schemeClr val="accent6"/>
          </a:outerShdw>
        </a:effectLst>
      </xdr:spPr>
    </xdr:pic>
    <xdr:clientData/>
  </xdr:twoCellAnchor>
  <xdr:twoCellAnchor>
    <xdr:from>
      <xdr:col>4</xdr:col>
      <xdr:colOff>130970</xdr:colOff>
      <xdr:row>4</xdr:row>
      <xdr:rowOff>23813</xdr:rowOff>
    </xdr:from>
    <xdr:to>
      <xdr:col>10</xdr:col>
      <xdr:colOff>559595</xdr:colOff>
      <xdr:row>19</xdr:row>
      <xdr:rowOff>88107</xdr:rowOff>
    </xdr:to>
    <xdr:graphicFrame macro="">
      <xdr:nvGraphicFramePr>
        <xdr:cNvPr id="38" name="Chart 37">
          <a:extLst>
            <a:ext uri="{FF2B5EF4-FFF2-40B4-BE49-F238E27FC236}">
              <a16:creationId xmlns:a16="http://schemas.microsoft.com/office/drawing/2014/main" id="{00000000-0008-0000-0000-000026000000}"/>
            </a:ext>
            <a:ext uri="{147F2762-F138-4A5C-976F-8EAC2B608ADB}">
              <a16:predDERef xmlns:a16="http://schemas.microsoft.com/office/drawing/2014/main" pred="{00000000-0008-0000-00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178595</xdr:colOff>
      <xdr:row>20</xdr:row>
      <xdr:rowOff>35720</xdr:rowOff>
    </xdr:from>
    <xdr:to>
      <xdr:col>11</xdr:col>
      <xdr:colOff>107157</xdr:colOff>
      <xdr:row>35</xdr:row>
      <xdr:rowOff>83345</xdr:rowOff>
    </xdr:to>
    <xdr:sp macro="" textlink="">
      <xdr:nvSpPr>
        <xdr:cNvPr id="7" name="Rectangle 6">
          <a:extLst>
            <a:ext uri="{FF2B5EF4-FFF2-40B4-BE49-F238E27FC236}">
              <a16:creationId xmlns:a16="http://schemas.microsoft.com/office/drawing/2014/main" id="{00000000-0008-0000-0000-000007000000}"/>
            </a:ext>
          </a:extLst>
        </xdr:cNvPr>
        <xdr:cNvSpPr/>
      </xdr:nvSpPr>
      <xdr:spPr>
        <a:xfrm>
          <a:off x="1797845" y="3607595"/>
          <a:ext cx="4762500" cy="2726531"/>
        </a:xfrm>
        <a:prstGeom prst="rect">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190499</xdr:colOff>
      <xdr:row>20</xdr:row>
      <xdr:rowOff>59530</xdr:rowOff>
    </xdr:from>
    <xdr:to>
      <xdr:col>11</xdr:col>
      <xdr:colOff>83342</xdr:colOff>
      <xdr:row>35</xdr:row>
      <xdr:rowOff>88105</xdr:rowOff>
    </xdr:to>
    <xdr:grpSp>
      <xdr:nvGrpSpPr>
        <xdr:cNvPr id="5" name="Group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7000000}"/>
            </a:ext>
          </a:extLst>
        </xdr:cNvPr>
        <xdr:cNvGrpSpPr/>
      </xdr:nvGrpSpPr>
      <xdr:grpSpPr>
        <a:xfrm>
          <a:off x="1803399" y="4339430"/>
          <a:ext cx="4693443" cy="2720975"/>
          <a:chOff x="3667126" y="2857499"/>
          <a:chExt cx="6615421" cy="2707481"/>
        </a:xfrm>
      </xdr:grpSpPr>
      <xdr:graphicFrame macro="">
        <xdr:nvGraphicFramePr>
          <xdr:cNvPr id="33" name="Chart 32">
            <a:extLst>
              <a:ext uri="{FF2B5EF4-FFF2-40B4-BE49-F238E27FC236}">
                <a16:creationId xmlns:a16="http://schemas.microsoft.com/office/drawing/2014/main" id="{00000000-0008-0000-0000-000021000000}"/>
              </a:ext>
            </a:extLst>
          </xdr:cNvPr>
          <xdr:cNvGraphicFramePr>
            <a:graphicFrameLocks/>
          </xdr:cNvGraphicFramePr>
        </xdr:nvGraphicFramePr>
        <xdr:xfrm>
          <a:off x="3667126" y="2857499"/>
          <a:ext cx="2873308" cy="270748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0" name="Chart 39">
            <a:extLst>
              <a:ext uri="{FF2B5EF4-FFF2-40B4-BE49-F238E27FC236}">
                <a16:creationId xmlns:a16="http://schemas.microsoft.com/office/drawing/2014/main" id="{00000000-0008-0000-0000-000028000000}"/>
              </a:ext>
            </a:extLst>
          </xdr:cNvPr>
          <xdr:cNvGraphicFramePr>
            <a:graphicFrameLocks/>
          </xdr:cNvGraphicFramePr>
        </xdr:nvGraphicFramePr>
        <xdr:xfrm>
          <a:off x="6518307" y="2857499"/>
          <a:ext cx="3764240" cy="2707481"/>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14</xdr:col>
      <xdr:colOff>619125</xdr:colOff>
      <xdr:row>4</xdr:row>
      <xdr:rowOff>152400</xdr:rowOff>
    </xdr:from>
    <xdr:to>
      <xdr:col>18</xdr:col>
      <xdr:colOff>295275</xdr:colOff>
      <xdr:row>24</xdr:row>
      <xdr:rowOff>76200</xdr:rowOff>
    </xdr:to>
    <xdr:graphicFrame macro="">
      <xdr:nvGraphicFramePr>
        <xdr:cNvPr id="41" name="Chart 40">
          <a:extLst>
            <a:ext uri="{FF2B5EF4-FFF2-40B4-BE49-F238E27FC236}">
              <a16:creationId xmlns:a16="http://schemas.microsoft.com/office/drawing/2014/main" id="{00000000-0008-0000-0000-000029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666750</xdr:colOff>
      <xdr:row>4</xdr:row>
      <xdr:rowOff>104775</xdr:rowOff>
    </xdr:from>
    <xdr:to>
      <xdr:col>23</xdr:col>
      <xdr:colOff>171450</xdr:colOff>
      <xdr:row>24</xdr:row>
      <xdr:rowOff>19050</xdr:rowOff>
    </xdr:to>
    <xdr:graphicFrame macro="">
      <xdr:nvGraphicFramePr>
        <xdr:cNvPr id="42" name="Chart 41">
          <a:extLst>
            <a:ext uri="{FF2B5EF4-FFF2-40B4-BE49-F238E27FC236}">
              <a16:creationId xmlns:a16="http://schemas.microsoft.com/office/drawing/2014/main" id="{00000000-0008-0000-0000-00002A000000}"/>
            </a:ext>
            <a:ext uri="{147F2762-F138-4A5C-976F-8EAC2B608ADB}">
              <a16:predDERef xmlns:a16="http://schemas.microsoft.com/office/drawing/2014/main" pred="{00000000-0008-0000-00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101137</xdr:rowOff>
    </xdr:from>
    <xdr:to>
      <xdr:col>1</xdr:col>
      <xdr:colOff>409650</xdr:colOff>
      <xdr:row>9</xdr:row>
      <xdr:rowOff>110737</xdr:rowOff>
    </xdr:to>
    <xdr:pic>
      <xdr:nvPicPr>
        <xdr:cNvPr id="2" name="Picture 1" descr="Star-struck face outline with solid fill">
          <a:extLst>
            <a:ext uri="{FF2B5EF4-FFF2-40B4-BE49-F238E27FC236}">
              <a16:creationId xmlns:a16="http://schemas.microsoft.com/office/drawing/2014/main" id="{977FBC61-B046-4E42-B079-E0BF77AE63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01387"/>
          <a:ext cx="409650" cy="390600"/>
        </a:xfrm>
        <a:prstGeom prst="rect">
          <a:avLst/>
        </a:prstGeom>
      </xdr:spPr>
    </xdr:pic>
    <xdr:clientData/>
  </xdr:twoCellAnchor>
  <xdr:twoCellAnchor editAs="oneCell">
    <xdr:from>
      <xdr:col>1</xdr:col>
      <xdr:colOff>0</xdr:colOff>
      <xdr:row>1</xdr:row>
      <xdr:rowOff>69000</xdr:rowOff>
    </xdr:from>
    <xdr:to>
      <xdr:col>1</xdr:col>
      <xdr:colOff>409650</xdr:colOff>
      <xdr:row>2</xdr:row>
      <xdr:rowOff>278625</xdr:rowOff>
    </xdr:to>
    <xdr:pic>
      <xdr:nvPicPr>
        <xdr:cNvPr id="3" name="Picture 2" descr="Hourglass Finished with solid fill">
          <a:extLst>
            <a:ext uri="{FF2B5EF4-FFF2-40B4-BE49-F238E27FC236}">
              <a16:creationId xmlns:a16="http://schemas.microsoft.com/office/drawing/2014/main" id="{16CFFECF-EA02-47F4-B4A5-C5C6D9EBD3AB}"/>
            </a:ext>
            <a:ext uri="{147F2762-F138-4A5C-976F-8EAC2B608ADB}">
              <a16:predDERef xmlns:a16="http://schemas.microsoft.com/office/drawing/2014/main" pred="{977FBC61-B046-4E42-B079-E0BF77AE63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59500"/>
          <a:ext cx="409650" cy="400125"/>
        </a:xfrm>
        <a:prstGeom prst="rect">
          <a:avLst/>
        </a:prstGeom>
      </xdr:spPr>
    </xdr:pic>
    <xdr:clientData/>
  </xdr:twoCellAnchor>
  <xdr:twoCellAnchor editAs="oneCell">
    <xdr:from>
      <xdr:col>1</xdr:col>
      <xdr:colOff>0</xdr:colOff>
      <xdr:row>13</xdr:row>
      <xdr:rowOff>85650</xdr:rowOff>
    </xdr:from>
    <xdr:to>
      <xdr:col>1</xdr:col>
      <xdr:colOff>409650</xdr:colOff>
      <xdr:row>15</xdr:row>
      <xdr:rowOff>85725</xdr:rowOff>
    </xdr:to>
    <xdr:pic>
      <xdr:nvPicPr>
        <xdr:cNvPr id="4" name="Picture 3" descr="Shopping cart with solid fill">
          <a:extLst>
            <a:ext uri="{FF2B5EF4-FFF2-40B4-BE49-F238E27FC236}">
              <a16:creationId xmlns:a16="http://schemas.microsoft.com/office/drawing/2014/main" id="{AD026C46-D551-45C7-A1DB-4E22EF01FC70}"/>
            </a:ext>
            <a:ext uri="{147F2762-F138-4A5C-976F-8EAC2B608ADB}">
              <a16:predDERef xmlns:a16="http://schemas.microsoft.com/office/drawing/2014/main" pred="{16CFFECF-EA02-47F4-B4A5-C5C6D9EBD3A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228900"/>
          <a:ext cx="409650" cy="381075"/>
        </a:xfrm>
        <a:prstGeom prst="rect">
          <a:avLst/>
        </a:prstGeom>
      </xdr:spPr>
    </xdr:pic>
    <xdr:clientData/>
  </xdr:twoCellAnchor>
  <xdr:twoCellAnchor editAs="oneCell">
    <xdr:from>
      <xdr:col>1</xdr:col>
      <xdr:colOff>0</xdr:colOff>
      <xdr:row>4</xdr:row>
      <xdr:rowOff>80306</xdr:rowOff>
    </xdr:from>
    <xdr:to>
      <xdr:col>1</xdr:col>
      <xdr:colOff>409650</xdr:colOff>
      <xdr:row>5</xdr:row>
      <xdr:rowOff>164985</xdr:rowOff>
    </xdr:to>
    <xdr:pic>
      <xdr:nvPicPr>
        <xdr:cNvPr id="5" name="Picture 4" descr="Call center with solid fill">
          <a:extLst>
            <a:ext uri="{FF2B5EF4-FFF2-40B4-BE49-F238E27FC236}">
              <a16:creationId xmlns:a16="http://schemas.microsoft.com/office/drawing/2014/main" id="{B59E0E98-E8A0-4E2F-A0DD-A96E59444866}"/>
            </a:ext>
            <a:ext uri="{147F2762-F138-4A5C-976F-8EAC2B608ADB}">
              <a16:predDERef xmlns:a16="http://schemas.microsoft.com/office/drawing/2014/main" pred="{AD026C46-D551-45C7-A1DB-4E22EF01FC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09006"/>
          <a:ext cx="409650" cy="408529"/>
        </a:xfrm>
        <a:prstGeom prst="rect">
          <a:avLst/>
        </a:prstGeom>
      </xdr:spPr>
    </xdr:pic>
    <xdr:clientData/>
  </xdr:twoCellAnchor>
  <xdr:twoCellAnchor editAs="oneCell">
    <xdr:from>
      <xdr:col>1</xdr:col>
      <xdr:colOff>0</xdr:colOff>
      <xdr:row>10</xdr:row>
      <xdr:rowOff>93393</xdr:rowOff>
    </xdr:from>
    <xdr:to>
      <xdr:col>1</xdr:col>
      <xdr:colOff>409650</xdr:colOff>
      <xdr:row>12</xdr:row>
      <xdr:rowOff>102993</xdr:rowOff>
    </xdr:to>
    <xdr:pic>
      <xdr:nvPicPr>
        <xdr:cNvPr id="6" name="Picture 5" descr="Receiver with solid fill">
          <a:extLst>
            <a:ext uri="{FF2B5EF4-FFF2-40B4-BE49-F238E27FC236}">
              <a16:creationId xmlns:a16="http://schemas.microsoft.com/office/drawing/2014/main" id="{9BAF85C9-4B88-4D91-854E-CDC40D497254}"/>
            </a:ext>
            <a:ext uri="{147F2762-F138-4A5C-976F-8EAC2B608ADB}">
              <a16:predDERef xmlns:a16="http://schemas.microsoft.com/office/drawing/2014/main" pred="{B59E0E98-E8A0-4E2F-A0DD-A96E5944486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665143"/>
          <a:ext cx="409650" cy="390600"/>
        </a:xfrm>
        <a:prstGeom prst="rect">
          <a:avLst/>
        </a:prstGeom>
      </xdr:spPr>
    </xdr:pic>
    <xdr:clientData/>
  </xdr:twoCellAnchor>
  <xdr:twoCellAnchor editAs="oneCell">
    <xdr:from>
      <xdr:col>1</xdr:col>
      <xdr:colOff>19049</xdr:colOff>
      <xdr:row>16</xdr:row>
      <xdr:rowOff>21374</xdr:rowOff>
    </xdr:from>
    <xdr:to>
      <xdr:col>1</xdr:col>
      <xdr:colOff>430529</xdr:colOff>
      <xdr:row>18</xdr:row>
      <xdr:rowOff>32804</xdr:rowOff>
    </xdr:to>
    <xdr:pic>
      <xdr:nvPicPr>
        <xdr:cNvPr id="7" name="Picture 6" descr="Rating Star with solid fill">
          <a:extLst>
            <a:ext uri="{FF2B5EF4-FFF2-40B4-BE49-F238E27FC236}">
              <a16:creationId xmlns:a16="http://schemas.microsoft.com/office/drawing/2014/main" id="{A2231D77-FEB5-477B-B4FA-3162F984F387}"/>
            </a:ext>
            <a:ext uri="{147F2762-F138-4A5C-976F-8EAC2B608ADB}">
              <a16:predDERef xmlns:a16="http://schemas.microsoft.com/office/drawing/2014/main" pred="{9BAF85C9-4B88-4D91-854E-CDC40D49725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736124"/>
          <a:ext cx="411480" cy="3924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5969.853814814815" backgroundQuery="1" createdVersion="6" refreshedVersion="6" minRefreshableVersion="3" recordCount="0" supportSubquery="1" supportAdvancedDrill="1" xr:uid="{00000000-000A-0000-FFFF-FFFF00000000}">
  <cacheSource type="external" connectionId="1"/>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5969.752602430555" backgroundQuery="1" createdVersion="6" refreshedVersion="6" minRefreshableVersion="3" recordCount="0" supportSubquery="1" supportAdvancedDrill="1" xr:uid="{00000000-000A-0000-FFFF-FFFF01000000}">
  <cacheSource type="external" connectionId="1"/>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Sum of Purchase Amount]" caption="Sum of Purchase Amount" numFmtId="0" hierarchy="26"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5969.679824652776" backgroundQuery="1" createdVersion="6" refreshedVersion="6" minRefreshableVersion="3" recordCount="0" supportSubquery="1" supportAdvancedDrill="1" xr:uid="{00000000-000A-0000-FFFF-FFFF02000000}">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5969.982206712964" backgroundQuery="1" createdVersion="6" refreshedVersion="6" minRefreshableVersion="3" recordCount="0" supportSubquery="1" supportAdvancedDrill="1" xr:uid="{00000000-000A-0000-FFFF-FFFFFF020000}">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Measures].[Total Amount]" caption="Total Amount" numFmtId="0" hierarchy="18" level="32767"/>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71.798156712961" backgroundQuery="1" createdVersion="6" refreshedVersion="6" minRefreshableVersion="3" recordCount="0" supportSubquery="1" supportAdvancedDrill="1" xr:uid="{00000000-000A-0000-FFFF-FFFF6C050000}">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71.798157986108" backgroundQuery="1" createdVersion="6" refreshedVersion="6" minRefreshableVersion="3" recordCount="0" supportSubquery="1" supportAdvancedDrill="1" xr:uid="{00000000-000A-0000-FFFF-FFFF6F050000}">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71.798158796293" backgroundQuery="1" createdVersion="6" refreshedVersion="6" minRefreshableVersion="3" recordCount="0" supportSubquery="1" supportAdvancedDrill="1" xr:uid="{00000000-000A-0000-FFFF-FFFF72050000}">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71.798159606478" backgroundQuery="1" createdVersion="6" refreshedVersion="6" minRefreshableVersion="3" recordCount="0" supportSubquery="1" supportAdvancedDrill="1" xr:uid="{00000000-000A-0000-FFFF-FFFF75050000}">
  <cacheSource type="external" connectionId="1"/>
  <cacheFields count="1">
    <cacheField name="[calls].[Representative].[Representative]" caption="Representative" numFmtId="0" hierarchy="3" level="1">
      <sharedItems count="1">
        <s v="R02"/>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71.798160648148" backgroundQuery="1" createdVersion="6" refreshedVersion="6" minRefreshableVersion="3" recordCount="0" supportSubquery="1" supportAdvancedDrill="1" xr:uid="{00000000-000A-0000-FFFF-FFFF78050000}">
  <cacheSource type="external" connectionId="1"/>
  <cacheFields count="3">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5969.679816203701" backgroundQuery="1" createdVersion="3" refreshedVersion="6" minRefreshableVersion="3" recordCount="0" supportSubquery="1" supportAdvancedDrill="1" xr:uid="{00000000-000A-0000-FFFF-FFFF09000000}">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Weekday Trend" cacheId="8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E24:F32" firstHeaderRow="1" firstDataRow="1" firstDataCol="1"/>
  <pivotFields count="3">
    <pivotField allDrilled="1" showAll="0" dataSourceSort="1" defaultAttributeDrillState="1"/>
    <pivotField axis="axisRow" allDrilled="1" showAll="0" sortType="ascending" defaultAttributeDrillState="1">
      <items count="8">
        <item x="1"/>
        <item x="5"/>
        <item x="6"/>
        <item x="4"/>
        <item x="0"/>
        <item x="2"/>
        <item x="3"/>
        <item t="default"/>
      </items>
    </pivotField>
    <pivotField dataField="1" showAl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1" cacheId="58"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9">
  <location ref="A114:G133" firstHeaderRow="1" firstDataRow="2" firstDataCol="1"/>
  <pivotFields count="4">
    <pivotField axis="axisCol" allDrilled="1" showAll="0" dataSourceSort="1" defaultAttributeDrillState="1">
      <items count="6">
        <item x="0"/>
        <item x="1"/>
        <item x="2"/>
        <item x="3"/>
        <item x="4"/>
        <item t="default"/>
      </items>
    </pivotField>
    <pivotField axis="axisRow" allDrilled="1" showAll="0" dataSourceSort="1" defaultAttributeDrillState="1">
      <items count="4">
        <item x="0"/>
        <item x="1"/>
        <item x="2"/>
        <item t="default"/>
      </items>
    </pivotField>
    <pivotField dataField="1" showAll="0"/>
    <pivotField axis="axisRow" allDrilled="1" showAll="0" dataSourceSort="1" defaultAttributeDrillState="1">
      <items count="16">
        <item x="0"/>
        <item x="1"/>
        <item x="2"/>
        <item x="3"/>
        <item x="4"/>
        <item x="5"/>
        <item x="6"/>
        <item x="7"/>
        <item x="8"/>
        <item x="9"/>
        <item x="10"/>
        <item x="11"/>
        <item x="12"/>
        <item x="13"/>
        <item x="14"/>
        <item t="default"/>
      </items>
    </pivotField>
  </pivotFields>
  <rowFields count="2">
    <field x="1"/>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2"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9" cacheId="5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A91:D96"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Monthly Trend" cacheId="8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A24:C37" firstHeaderRow="0" firstDataRow="1" firstDataCol="1"/>
  <pivotFields count="5">
    <pivotField allDrilled="1" showAll="0" dataSourceSort="1" defaultAttributeDrillState="1"/>
    <pivotField axis="axisRow" allDrilled="1" showAll="0" dataSourceSort="1" defaultAttributeDrillState="1">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Selected Rep" cacheId="91"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A77:A78" firstHeaderRow="1" firstDataRow="1" firstDataCol="1"/>
  <pivotFields count="1">
    <pivotField axis="axisRow" allDrilled="1" showAll="0" dataSourceSort="1" defaultAttributeDrillState="1">
      <items count="2">
        <item s="1" x="0"/>
        <item t="default"/>
      </items>
    </pivotField>
  </pivotFields>
  <rowFields count="1">
    <field x="0"/>
  </rowFields>
  <rowItems count="1">
    <i>
      <x/>
    </i>
  </rowItems>
  <formats count="1">
    <format dxfId="16">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Rep Pivot" cacheId="82" applyNumberFormats="0" applyBorderFormats="0" applyFontFormats="0" applyPatternFormats="0" applyAlignmentFormats="0" applyWidthHeightFormats="1" dataCaption="Values" updatedVersion="6" minRefreshableVersion="3" showDrill="0" useAutoFormatting="1" subtotalHiddenItems="1" itemPrintTitles="1" createdVersion="6" indent="0" outline="1" outlineData="1" multipleFieldFilters="0">
  <location ref="A10:E11"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Summary Pivot" cacheId="5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Rep Satisfaction" cacheId="9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9">
  <location ref="A101:B107" firstHeaderRow="1" firstDataRow="1" firstDataCol="1"/>
  <pivotFields count="3">
    <pivotField dataField="1" showAll="0"/>
    <pivotField allDrilled="1" showAll="0" dataSourceSort="1" defaultAttributeDrillState="1"/>
    <pivotField axis="axisRow" allDrilled="1" showAll="0" dataSourceSort="1" defaultAttributeDrillState="1">
      <items count="6">
        <item x="0"/>
        <item x="1"/>
        <item x="2"/>
        <item x="3"/>
        <item x="4"/>
        <item t="default"/>
      </items>
    </pivotField>
  </pivotFields>
  <rowFields count="1">
    <field x="2"/>
  </rowFields>
  <rowItems count="6">
    <i>
      <x/>
    </i>
    <i>
      <x v="1"/>
    </i>
    <i>
      <x v="2"/>
    </i>
    <i>
      <x v="3"/>
    </i>
    <i>
      <x v="4"/>
    </i>
    <i t="grand">
      <x/>
    </i>
  </rowItems>
  <colItems count="1">
    <i/>
  </colItems>
  <dataFields count="1">
    <dataField fld="0" subtotal="count" baseField="0" baseItem="0"/>
  </dataFields>
  <chartFormats count="1">
    <chartFormat chart="8"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Reps Pivot"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0:C56"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0000000-0013-0000-FFFF-FFFF01000000}" sourceName="[calls].[Representative]">
  <pivotTables>
    <pivotTable tabId="7" name="Rep Pivot"/>
    <pivotTable tabId="7" name="Monthly Trend"/>
    <pivotTable tabId="7" name="Weekday Trend"/>
    <pivotTable tabId="7" name="Selected Rep"/>
    <pivotTable tabId="7" name="Rep Satisfaction"/>
  </pivotTables>
  <data>
    <olap pivotCacheId="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0000000-0014-0000-FFFF-FFFF01000000}" cache="Slicer_Representative" caption="Representative"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lls" displayName="calls" ref="B3:L1003" totalsRowShown="0">
  <autoFilter ref="B3:L1003" xr:uid="{00000000-0009-0000-0100-000001000000}"/>
  <tableColumns count="11">
    <tableColumn id="1" xr3:uid="{00000000-0010-0000-0000-000001000000}" name="Call number"/>
    <tableColumn id="2" xr3:uid="{00000000-0010-0000-0000-000002000000}" name="Customer ID"/>
    <tableColumn id="3" xr3:uid="{00000000-0010-0000-0000-000003000000}" name="Duration"/>
    <tableColumn id="4" xr3:uid="{00000000-0010-0000-0000-000004000000}" name="Representative" dataDxfId="15"/>
    <tableColumn id="5" xr3:uid="{00000000-0010-0000-0000-000005000000}" name="Date of Call" dataDxfId="14"/>
    <tableColumn id="6" xr3:uid="{00000000-0010-0000-0000-000006000000}" name="Purchase Amount"/>
    <tableColumn id="7" xr3:uid="{00000000-0010-0000-0000-000007000000}" name="Satisfaction Rating"/>
    <tableColumn id="8" xr3:uid="{00000000-0010-0000-0000-000008000000}" name="FY" dataDxfId="13">
      <calculatedColumnFormula>IF(MONTH(calls[[#This Row],[Date of Call]])&lt;=6, YEAR(calls[[#This Row],[Date of Call]]), YEAR(calls[[#This Row],[Date of Call]])+1)</calculatedColumnFormula>
    </tableColumn>
    <tableColumn id="9" xr3:uid="{00000000-0010-0000-0000-000009000000}" name="Day of week" dataDxfId="12">
      <calculatedColumnFormula>TEXT(calls[[#This Row],[Date of Call]],"DDDD")</calculatedColumnFormula>
    </tableColumn>
    <tableColumn id="10" xr3:uid="{00000000-0010-0000-0000-00000A000000}"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00000000-0010-0000-0000-00000B000000}"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ustomers" displayName="customers" ref="Q3:T18" totalsRowShown="0" headerRowDxfId="9" headerRowBorderDxfId="8" tableBorderDxfId="7" totalsRowBorderDxfId="6">
  <autoFilter ref="Q3:T18" xr:uid="{00000000-0009-0000-0100-000002000000}"/>
  <tableColumns count="4">
    <tableColumn id="1" xr3:uid="{00000000-0010-0000-0100-000001000000}" name="Customer ID" dataDxfId="5"/>
    <tableColumn id="2" xr3:uid="{00000000-0010-0000-0100-000002000000}" name="Gender" dataDxfId="4"/>
    <tableColumn id="3" xr3:uid="{00000000-0010-0000-0100-000003000000}" name="Age" dataDxfId="3"/>
    <tableColumn id="4" xr3:uid="{00000000-0010-0000-0100-000004000000}"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4"/>
  <sheetViews>
    <sheetView tabSelected="1" zoomScale="75" zoomScaleNormal="75" workbookViewId="0">
      <selection activeCell="J1" sqref="J1"/>
    </sheetView>
  </sheetViews>
  <sheetFormatPr defaultRowHeight="14.25"/>
  <cols>
    <col min="1" max="1" width="1.75" style="23" customWidth="1"/>
    <col min="2" max="2" width="1.375" style="23" customWidth="1"/>
    <col min="3" max="11" width="9" style="23"/>
    <col min="12" max="12" width="9.125" style="23" bestFit="1" customWidth="1"/>
    <col min="13" max="14" width="9" style="23"/>
    <col min="15" max="15" width="17.375" style="23" customWidth="1"/>
    <col min="16" max="16" width="15" style="37" customWidth="1"/>
    <col min="17" max="17" width="10.125" style="23" customWidth="1"/>
    <col min="18" max="18" width="11.875" style="23" customWidth="1"/>
    <col min="19" max="19" width="11.375" style="23" customWidth="1"/>
    <col min="20" max="20" width="11.125" style="23" customWidth="1"/>
    <col min="21" max="21" width="11.25" style="23" customWidth="1"/>
    <col min="22" max="16384" width="9" style="23"/>
  </cols>
  <sheetData>
    <row r="1" spans="1:35" ht="70.5" customHeight="1">
      <c r="A1" s="53"/>
      <c r="B1" s="53"/>
      <c r="C1" s="53"/>
      <c r="D1" s="53"/>
      <c r="E1" s="53"/>
      <c r="F1" s="53"/>
      <c r="G1" s="53"/>
      <c r="H1" s="58"/>
      <c r="I1" s="58"/>
      <c r="J1" s="58"/>
      <c r="K1" s="58"/>
      <c r="L1" s="59" t="s">
        <v>1088</v>
      </c>
      <c r="M1" s="58"/>
      <c r="N1" s="58"/>
      <c r="O1" s="58"/>
      <c r="P1" s="35"/>
      <c r="Q1" s="53"/>
      <c r="R1" s="53"/>
      <c r="S1" s="53"/>
      <c r="T1" s="53"/>
      <c r="U1" s="53"/>
      <c r="V1" s="53"/>
      <c r="W1" s="53"/>
      <c r="X1" s="53"/>
      <c r="Y1" s="53"/>
      <c r="Z1" s="53"/>
      <c r="AA1" s="53"/>
      <c r="AB1" s="53"/>
      <c r="AC1" s="53"/>
      <c r="AD1" s="53"/>
      <c r="AE1" s="53"/>
      <c r="AF1" s="53"/>
      <c r="AG1" s="53"/>
      <c r="AH1" s="53"/>
      <c r="AI1" s="53"/>
    </row>
    <row r="2" spans="1:35">
      <c r="A2" s="53"/>
      <c r="B2" s="53"/>
      <c r="C2" s="53"/>
      <c r="D2" s="53"/>
      <c r="E2" s="53"/>
      <c r="F2" s="53"/>
      <c r="G2" s="53"/>
      <c r="H2" s="53"/>
      <c r="I2" s="53"/>
      <c r="J2" s="53"/>
      <c r="K2" s="53"/>
      <c r="L2" s="53"/>
      <c r="M2" s="53"/>
      <c r="N2" s="53"/>
      <c r="O2" s="53"/>
      <c r="P2" s="35"/>
      <c r="Q2" s="53"/>
      <c r="R2" s="53"/>
      <c r="S2" s="53"/>
      <c r="T2" s="53"/>
      <c r="U2" s="53"/>
      <c r="V2" s="53"/>
      <c r="W2" s="53"/>
      <c r="X2" s="53"/>
      <c r="Y2" s="53"/>
      <c r="Z2" s="53"/>
      <c r="AA2" s="53"/>
      <c r="AB2" s="53"/>
      <c r="AC2" s="53"/>
      <c r="AD2" s="53"/>
      <c r="AE2" s="53"/>
      <c r="AF2" s="53"/>
      <c r="AG2" s="53"/>
      <c r="AH2" s="53"/>
      <c r="AI2" s="53"/>
    </row>
    <row r="3" spans="1:35">
      <c r="A3" s="53"/>
      <c r="B3" s="53"/>
      <c r="C3" s="53"/>
      <c r="D3" s="53"/>
      <c r="E3" s="53"/>
      <c r="F3" s="53"/>
      <c r="G3" s="53"/>
      <c r="H3" s="53"/>
      <c r="I3" s="53"/>
      <c r="J3" s="53"/>
      <c r="K3" s="53"/>
      <c r="L3" s="53"/>
      <c r="M3" s="53"/>
      <c r="N3" s="53"/>
      <c r="O3" s="53"/>
      <c r="P3" s="35"/>
      <c r="Q3" s="53"/>
      <c r="R3" s="53"/>
      <c r="S3" s="53"/>
      <c r="T3" s="53"/>
      <c r="U3" s="53"/>
      <c r="V3" s="53"/>
      <c r="W3" s="53"/>
      <c r="X3" s="53"/>
      <c r="Y3" s="53"/>
      <c r="Z3" s="53"/>
      <c r="AA3" s="53"/>
      <c r="AB3" s="53"/>
      <c r="AC3" s="53"/>
      <c r="AD3" s="53"/>
      <c r="AE3" s="53"/>
      <c r="AF3" s="53"/>
      <c r="AG3" s="53"/>
      <c r="AH3" s="53"/>
      <c r="AI3" s="53"/>
    </row>
    <row r="4" spans="1:35">
      <c r="A4" s="53"/>
      <c r="B4" s="53"/>
      <c r="C4" s="53"/>
      <c r="D4" s="53"/>
      <c r="E4" s="53"/>
      <c r="F4" s="53"/>
      <c r="G4" s="53"/>
      <c r="H4" s="53"/>
      <c r="I4" s="53"/>
      <c r="J4" s="53"/>
      <c r="K4" s="53"/>
      <c r="L4" s="53"/>
      <c r="M4" s="53"/>
      <c r="N4" s="53"/>
      <c r="O4" s="53"/>
      <c r="P4" s="35"/>
      <c r="Q4" s="53"/>
      <c r="R4" s="53"/>
      <c r="S4" s="53"/>
      <c r="T4" s="53"/>
      <c r="U4" s="53"/>
      <c r="V4" s="53"/>
      <c r="W4" s="53"/>
      <c r="X4" s="53"/>
      <c r="Y4" s="53"/>
      <c r="Z4" s="53"/>
      <c r="AA4" s="53"/>
      <c r="AB4" s="53"/>
      <c r="AC4" s="53"/>
      <c r="AD4" s="53"/>
      <c r="AE4" s="53"/>
      <c r="AF4" s="53"/>
      <c r="AG4" s="53"/>
      <c r="AH4" s="53"/>
      <c r="AI4" s="53"/>
    </row>
    <row r="5" spans="1:35">
      <c r="A5" s="53"/>
      <c r="B5" s="53"/>
      <c r="C5" s="53"/>
      <c r="D5" s="53"/>
      <c r="E5" s="53"/>
      <c r="F5" s="53"/>
      <c r="G5" s="53"/>
      <c r="H5" s="53"/>
      <c r="I5" s="53"/>
      <c r="J5" s="53"/>
      <c r="K5" s="53"/>
      <c r="L5" s="53"/>
      <c r="M5" s="53"/>
      <c r="N5" s="53"/>
      <c r="O5" s="53"/>
      <c r="P5" s="35"/>
      <c r="Q5" s="53"/>
      <c r="R5" s="53"/>
      <c r="S5" s="53"/>
      <c r="T5" s="53"/>
      <c r="U5" s="53"/>
      <c r="V5" s="53"/>
      <c r="W5" s="53"/>
      <c r="X5" s="53"/>
      <c r="Y5" s="53"/>
      <c r="Z5" s="53"/>
      <c r="AA5" s="53"/>
      <c r="AB5" s="53"/>
      <c r="AC5" s="53"/>
      <c r="AD5" s="53"/>
      <c r="AE5" s="53"/>
      <c r="AF5" s="53"/>
      <c r="AG5" s="53"/>
      <c r="AH5" s="53"/>
      <c r="AI5" s="53"/>
    </row>
    <row r="6" spans="1:35">
      <c r="A6" s="53"/>
      <c r="B6" s="53"/>
      <c r="C6" s="53"/>
      <c r="D6" s="53"/>
      <c r="E6" s="53"/>
      <c r="F6" s="53"/>
      <c r="G6" s="53"/>
      <c r="H6" s="53"/>
      <c r="I6" s="53"/>
      <c r="J6" s="53"/>
      <c r="K6" s="53"/>
      <c r="L6" s="53"/>
      <c r="M6" s="53"/>
      <c r="N6" s="53"/>
      <c r="O6" s="53"/>
      <c r="P6" s="35"/>
      <c r="Q6" s="53"/>
      <c r="R6" s="53"/>
      <c r="S6" s="53"/>
      <c r="T6" s="53"/>
      <c r="U6" s="53"/>
      <c r="V6" s="53"/>
      <c r="W6" s="53"/>
      <c r="X6" s="53"/>
      <c r="Y6" s="53"/>
      <c r="Z6" s="53"/>
      <c r="AA6" s="53"/>
      <c r="AB6" s="53"/>
      <c r="AC6" s="53"/>
      <c r="AD6" s="53"/>
      <c r="AE6" s="53"/>
      <c r="AF6" s="53"/>
      <c r="AG6" s="53"/>
      <c r="AH6" s="53"/>
      <c r="AI6" s="53"/>
    </row>
    <row r="7" spans="1:35">
      <c r="A7" s="53"/>
      <c r="B7" s="53"/>
      <c r="C7" s="53"/>
      <c r="D7" s="53"/>
      <c r="E7" s="53"/>
      <c r="F7" s="53"/>
      <c r="G7" s="53"/>
      <c r="H7" s="53"/>
      <c r="I7" s="53"/>
      <c r="J7" s="53"/>
      <c r="K7" s="53"/>
      <c r="L7" s="53"/>
      <c r="M7" s="53"/>
      <c r="N7" s="53"/>
      <c r="O7" s="53"/>
      <c r="P7" s="35"/>
      <c r="Q7" s="53"/>
      <c r="R7" s="53"/>
      <c r="S7" s="53"/>
      <c r="T7" s="53"/>
      <c r="U7" s="53"/>
      <c r="V7" s="53"/>
      <c r="W7" s="53"/>
      <c r="X7" s="53"/>
      <c r="Y7" s="53"/>
      <c r="Z7" s="53"/>
      <c r="AA7" s="53"/>
      <c r="AB7" s="53"/>
      <c r="AC7" s="53"/>
      <c r="AD7" s="53"/>
      <c r="AE7" s="53"/>
      <c r="AF7" s="53"/>
      <c r="AG7" s="53"/>
      <c r="AH7" s="53"/>
      <c r="AI7" s="53"/>
    </row>
    <row r="8" spans="1:35">
      <c r="A8" s="53"/>
      <c r="B8" s="53"/>
      <c r="C8" s="53"/>
      <c r="D8" s="53"/>
      <c r="E8" s="53"/>
      <c r="F8" s="53"/>
      <c r="G8" s="53"/>
      <c r="H8" s="53"/>
      <c r="I8" s="53"/>
      <c r="J8" s="53"/>
      <c r="K8" s="53"/>
      <c r="L8" s="53"/>
      <c r="M8" s="53"/>
      <c r="N8" s="53"/>
      <c r="O8" s="53"/>
      <c r="P8" s="35"/>
      <c r="Q8" s="53"/>
      <c r="R8" s="53"/>
      <c r="S8" s="53"/>
      <c r="T8" s="53"/>
      <c r="U8" s="53"/>
      <c r="V8" s="53"/>
      <c r="W8" s="53"/>
      <c r="X8" s="53"/>
      <c r="Y8" s="53"/>
      <c r="Z8" s="53"/>
      <c r="AA8" s="53"/>
      <c r="AB8" s="53"/>
      <c r="AC8" s="53"/>
      <c r="AD8" s="53"/>
      <c r="AE8" s="53"/>
      <c r="AF8" s="53"/>
      <c r="AG8" s="53"/>
      <c r="AH8" s="53"/>
      <c r="AI8" s="53"/>
    </row>
    <row r="9" spans="1:35">
      <c r="A9" s="53"/>
      <c r="B9" s="53"/>
      <c r="C9" s="53"/>
      <c r="D9" s="53"/>
      <c r="E9" s="53"/>
      <c r="F9" s="53"/>
      <c r="G9" s="53"/>
      <c r="H9" s="53"/>
      <c r="I9" s="53"/>
      <c r="J9" s="53"/>
      <c r="K9" s="53"/>
      <c r="L9" s="53"/>
      <c r="M9" s="53"/>
      <c r="N9" s="53"/>
      <c r="O9" s="53"/>
      <c r="P9" s="35"/>
      <c r="Q9" s="53"/>
      <c r="R9" s="53"/>
      <c r="S9" s="53"/>
      <c r="T9" s="53"/>
      <c r="U9" s="53"/>
      <c r="V9" s="53"/>
      <c r="W9" s="53"/>
      <c r="X9" s="53"/>
      <c r="Y9" s="53"/>
      <c r="Z9" s="53"/>
      <c r="AA9" s="53"/>
      <c r="AB9" s="53"/>
      <c r="AC9" s="53"/>
      <c r="AD9" s="53"/>
      <c r="AE9" s="53"/>
      <c r="AF9" s="53"/>
      <c r="AG9" s="53"/>
      <c r="AH9" s="53"/>
      <c r="AI9" s="53"/>
    </row>
    <row r="10" spans="1:35">
      <c r="A10" s="53"/>
      <c r="B10" s="53"/>
      <c r="C10" s="53"/>
      <c r="D10" s="53"/>
      <c r="E10" s="53"/>
      <c r="F10" s="53"/>
      <c r="G10" s="53"/>
      <c r="H10" s="53"/>
      <c r="I10" s="53"/>
      <c r="J10" s="53"/>
      <c r="K10" s="53"/>
      <c r="L10" s="53"/>
      <c r="M10" s="53"/>
      <c r="N10" s="53"/>
      <c r="O10" s="53"/>
      <c r="P10" s="35"/>
      <c r="Q10" s="53"/>
      <c r="R10" s="53"/>
      <c r="S10" s="53"/>
      <c r="T10" s="53"/>
      <c r="U10" s="53"/>
      <c r="V10" s="53"/>
      <c r="W10" s="53"/>
      <c r="X10" s="53"/>
      <c r="Y10" s="53"/>
      <c r="Z10" s="53"/>
      <c r="AA10" s="53"/>
      <c r="AB10" s="53"/>
      <c r="AC10" s="53"/>
      <c r="AD10" s="53"/>
      <c r="AE10" s="53"/>
      <c r="AF10" s="53"/>
      <c r="AG10" s="53"/>
      <c r="AH10" s="53"/>
      <c r="AI10" s="53"/>
    </row>
    <row r="11" spans="1:35">
      <c r="A11" s="53"/>
      <c r="B11" s="53"/>
      <c r="C11" s="53"/>
      <c r="D11" s="53"/>
      <c r="E11" s="53"/>
      <c r="F11" s="53"/>
      <c r="G11" s="53"/>
      <c r="H11" s="53"/>
      <c r="I11" s="53"/>
      <c r="J11" s="53"/>
      <c r="K11" s="53"/>
      <c r="L11" s="53"/>
      <c r="M11" s="53"/>
      <c r="N11" s="53"/>
      <c r="O11" s="53"/>
      <c r="P11" s="35"/>
      <c r="Q11" s="53"/>
      <c r="R11" s="53"/>
      <c r="S11" s="53"/>
      <c r="T11" s="53"/>
      <c r="U11" s="53"/>
      <c r="V11" s="53"/>
      <c r="W11" s="53"/>
      <c r="X11" s="53"/>
      <c r="Y11" s="53"/>
      <c r="Z11" s="53"/>
      <c r="AA11" s="53"/>
      <c r="AB11" s="53"/>
      <c r="AC11" s="53"/>
      <c r="AD11" s="53"/>
      <c r="AE11" s="53"/>
      <c r="AF11" s="53"/>
      <c r="AG11" s="53"/>
      <c r="AH11" s="53"/>
      <c r="AI11" s="53"/>
    </row>
    <row r="12" spans="1:35">
      <c r="A12" s="53"/>
      <c r="B12" s="53"/>
      <c r="C12" s="53"/>
      <c r="D12" s="53"/>
      <c r="E12" s="53"/>
      <c r="F12" s="53"/>
      <c r="G12" s="53"/>
      <c r="H12" s="53"/>
      <c r="I12" s="53"/>
      <c r="J12" s="53"/>
      <c r="K12" s="53"/>
      <c r="L12" s="53"/>
      <c r="M12" s="53"/>
      <c r="N12" s="53"/>
      <c r="O12" s="53"/>
      <c r="P12" s="35"/>
      <c r="Q12" s="53"/>
      <c r="R12" s="53"/>
      <c r="S12" s="53"/>
      <c r="T12" s="53"/>
      <c r="U12" s="53"/>
      <c r="V12" s="53"/>
      <c r="W12" s="53"/>
      <c r="X12" s="53"/>
      <c r="Y12" s="53"/>
      <c r="Z12" s="53"/>
      <c r="AA12" s="53"/>
      <c r="AB12" s="53"/>
      <c r="AC12" s="53"/>
      <c r="AD12" s="53"/>
      <c r="AE12" s="53"/>
      <c r="AF12" s="53"/>
      <c r="AG12" s="53"/>
      <c r="AH12" s="53"/>
      <c r="AI12" s="53"/>
    </row>
    <row r="13" spans="1:35">
      <c r="A13" s="53"/>
      <c r="B13" s="53"/>
      <c r="C13" s="53"/>
      <c r="D13" s="53"/>
      <c r="E13" s="53"/>
      <c r="F13" s="53"/>
      <c r="G13" s="53"/>
      <c r="H13" s="53"/>
      <c r="I13" s="53"/>
      <c r="J13" s="53"/>
      <c r="K13" s="53"/>
      <c r="L13" s="53"/>
      <c r="M13" s="53"/>
      <c r="N13" s="53"/>
      <c r="O13" s="53"/>
      <c r="P13" s="35"/>
      <c r="Q13" s="53"/>
      <c r="R13" s="53"/>
      <c r="S13" s="53"/>
      <c r="T13" s="53"/>
      <c r="U13" s="53"/>
      <c r="V13" s="53"/>
      <c r="W13" s="53"/>
      <c r="X13" s="53"/>
      <c r="Y13" s="53"/>
      <c r="Z13" s="53"/>
      <c r="AA13" s="53"/>
      <c r="AB13" s="53"/>
      <c r="AC13" s="53"/>
      <c r="AD13" s="53"/>
      <c r="AE13" s="53"/>
      <c r="AF13" s="53"/>
      <c r="AG13" s="53"/>
      <c r="AH13" s="53"/>
      <c r="AI13" s="53"/>
    </row>
    <row r="14" spans="1:35">
      <c r="A14" s="53"/>
      <c r="B14" s="53"/>
      <c r="C14" s="53"/>
      <c r="D14" s="53"/>
      <c r="E14" s="53"/>
      <c r="F14" s="53"/>
      <c r="G14" s="53"/>
      <c r="H14" s="53"/>
      <c r="I14" s="53"/>
      <c r="J14" s="53"/>
      <c r="K14" s="53"/>
      <c r="L14" s="53"/>
      <c r="M14" s="53"/>
      <c r="N14" s="53"/>
      <c r="O14" s="53"/>
      <c r="P14" s="35"/>
      <c r="Q14" s="53"/>
      <c r="R14" s="53"/>
      <c r="S14" s="53"/>
      <c r="T14" s="53"/>
      <c r="U14" s="53"/>
      <c r="V14" s="53"/>
      <c r="W14" s="53"/>
      <c r="X14" s="53"/>
      <c r="Y14" s="53"/>
      <c r="Z14" s="53"/>
      <c r="AA14" s="53"/>
      <c r="AB14" s="53"/>
      <c r="AC14" s="53"/>
      <c r="AD14" s="53"/>
      <c r="AE14" s="53"/>
      <c r="AF14" s="53"/>
      <c r="AG14" s="53"/>
      <c r="AH14" s="53"/>
      <c r="AI14" s="53"/>
    </row>
    <row r="15" spans="1:35">
      <c r="A15" s="53"/>
      <c r="B15" s="53"/>
      <c r="C15" s="53"/>
      <c r="D15" s="53"/>
      <c r="E15" s="53"/>
      <c r="F15" s="53"/>
      <c r="G15" s="53"/>
      <c r="H15" s="53"/>
      <c r="I15" s="53"/>
      <c r="J15" s="53"/>
      <c r="K15" s="53"/>
      <c r="L15" s="53"/>
      <c r="M15" s="53"/>
      <c r="N15" s="53"/>
      <c r="O15" s="53"/>
      <c r="P15" s="35"/>
      <c r="Q15" s="53"/>
      <c r="R15" s="53"/>
      <c r="S15" s="53"/>
      <c r="T15" s="53"/>
      <c r="U15" s="53"/>
      <c r="V15" s="53"/>
      <c r="W15" s="53"/>
      <c r="X15" s="53"/>
      <c r="Y15" s="53"/>
      <c r="Z15" s="53"/>
      <c r="AA15" s="53"/>
      <c r="AB15" s="53"/>
      <c r="AC15" s="53"/>
      <c r="AD15" s="53"/>
      <c r="AE15" s="53"/>
      <c r="AF15" s="53"/>
      <c r="AG15" s="53"/>
      <c r="AH15" s="53"/>
      <c r="AI15" s="53"/>
    </row>
    <row r="16" spans="1:35">
      <c r="A16" s="53"/>
      <c r="B16" s="53"/>
      <c r="C16" s="53"/>
      <c r="D16" s="53"/>
      <c r="E16" s="53"/>
      <c r="F16" s="53"/>
      <c r="G16" s="53"/>
      <c r="H16" s="53"/>
      <c r="I16" s="53"/>
      <c r="J16" s="53"/>
      <c r="K16" s="53"/>
      <c r="L16" s="53"/>
      <c r="M16" s="53"/>
      <c r="N16" s="53"/>
      <c r="O16" s="53"/>
      <c r="P16" s="35"/>
      <c r="Q16" s="53"/>
      <c r="R16" s="53"/>
      <c r="S16" s="53"/>
      <c r="T16" s="53"/>
      <c r="U16" s="53"/>
      <c r="V16" s="53"/>
      <c r="W16" s="53"/>
      <c r="X16" s="53"/>
      <c r="Y16" s="53"/>
      <c r="Z16" s="53"/>
      <c r="AA16" s="53"/>
      <c r="AB16" s="53"/>
      <c r="AC16" s="53"/>
      <c r="AD16" s="53"/>
      <c r="AE16" s="53"/>
      <c r="AF16" s="53"/>
      <c r="AG16" s="53"/>
      <c r="AH16" s="53"/>
      <c r="AI16" s="53"/>
    </row>
    <row r="17" spans="1:35">
      <c r="A17" s="53"/>
      <c r="B17" s="53"/>
      <c r="C17" s="53"/>
      <c r="D17" s="53"/>
      <c r="E17" s="53"/>
      <c r="F17" s="53"/>
      <c r="G17" s="53"/>
      <c r="H17" s="53"/>
      <c r="I17" s="53"/>
      <c r="J17" s="53"/>
      <c r="K17" s="53"/>
      <c r="L17" s="53"/>
      <c r="M17" s="53"/>
      <c r="N17" s="53"/>
      <c r="O17" s="53"/>
      <c r="P17" s="35"/>
      <c r="Q17" s="53"/>
      <c r="R17" s="53"/>
      <c r="S17" s="53"/>
      <c r="T17" s="53"/>
      <c r="U17" s="53"/>
      <c r="V17" s="53"/>
      <c r="W17" s="53"/>
      <c r="X17" s="53"/>
      <c r="Y17" s="53"/>
      <c r="Z17" s="53"/>
      <c r="AA17" s="53"/>
      <c r="AB17" s="53"/>
      <c r="AC17" s="53"/>
      <c r="AD17" s="53"/>
      <c r="AE17" s="53"/>
      <c r="AF17" s="53"/>
      <c r="AG17" s="53"/>
      <c r="AH17" s="53"/>
      <c r="AI17" s="53"/>
    </row>
    <row r="18" spans="1:35">
      <c r="A18" s="53"/>
      <c r="B18" s="53"/>
      <c r="C18" s="53"/>
      <c r="D18" s="53"/>
      <c r="E18" s="53"/>
      <c r="F18" s="53"/>
      <c r="G18" s="53"/>
      <c r="H18" s="53"/>
      <c r="I18" s="53"/>
      <c r="J18" s="53"/>
      <c r="K18" s="53"/>
      <c r="L18" s="53"/>
      <c r="M18" s="53"/>
      <c r="N18" s="53"/>
      <c r="O18" s="53"/>
      <c r="P18" s="35"/>
      <c r="Q18" s="53"/>
      <c r="R18" s="53"/>
      <c r="S18" s="53"/>
      <c r="T18" s="53"/>
      <c r="U18" s="53"/>
      <c r="V18" s="53"/>
      <c r="W18" s="53"/>
      <c r="X18" s="53"/>
      <c r="Y18" s="53"/>
      <c r="Z18" s="53"/>
      <c r="AA18" s="53"/>
      <c r="AB18" s="53"/>
      <c r="AC18" s="53"/>
      <c r="AD18" s="53"/>
      <c r="AE18" s="53"/>
      <c r="AF18" s="53"/>
      <c r="AG18" s="53"/>
      <c r="AH18" s="53"/>
      <c r="AI18" s="53"/>
    </row>
    <row r="19" spans="1:35">
      <c r="A19" s="53"/>
      <c r="B19" s="53"/>
      <c r="C19" s="53"/>
      <c r="D19" s="53"/>
      <c r="E19" s="53"/>
      <c r="F19" s="53"/>
      <c r="G19" s="53"/>
      <c r="H19" s="53"/>
      <c r="I19" s="53"/>
      <c r="J19" s="53"/>
      <c r="K19" s="53"/>
      <c r="L19" s="53"/>
      <c r="M19" s="53"/>
      <c r="N19" s="53"/>
      <c r="O19" s="53"/>
      <c r="P19" s="35"/>
      <c r="Q19" s="53"/>
      <c r="R19" s="53"/>
      <c r="S19" s="53"/>
      <c r="T19" s="53"/>
      <c r="U19" s="53"/>
      <c r="V19" s="53"/>
      <c r="W19" s="53"/>
      <c r="X19" s="53"/>
      <c r="Y19" s="53"/>
      <c r="Z19" s="53"/>
      <c r="AA19" s="53"/>
      <c r="AB19" s="53"/>
      <c r="AC19" s="53"/>
      <c r="AD19" s="53"/>
      <c r="AE19" s="53"/>
      <c r="AF19" s="53"/>
      <c r="AG19" s="53"/>
      <c r="AH19" s="53"/>
      <c r="AI19" s="53"/>
    </row>
    <row r="20" spans="1:35">
      <c r="A20" s="53"/>
      <c r="B20" s="53"/>
      <c r="C20" s="53"/>
      <c r="D20" s="53"/>
      <c r="E20" s="53"/>
      <c r="F20" s="53"/>
      <c r="G20" s="53"/>
      <c r="H20" s="53"/>
      <c r="I20" s="53"/>
      <c r="J20" s="53"/>
      <c r="K20" s="53"/>
      <c r="L20" s="53"/>
      <c r="M20" s="53"/>
      <c r="N20" s="53"/>
      <c r="O20" s="53"/>
      <c r="P20" s="35"/>
      <c r="Q20" s="53"/>
      <c r="R20" s="53"/>
      <c r="S20" s="53"/>
      <c r="T20" s="53"/>
      <c r="U20" s="53"/>
      <c r="V20" s="53"/>
      <c r="W20" s="53"/>
      <c r="X20" s="53"/>
      <c r="Y20" s="53"/>
      <c r="Z20" s="53"/>
      <c r="AA20" s="53"/>
      <c r="AB20" s="53"/>
      <c r="AC20" s="53"/>
      <c r="AD20" s="53"/>
      <c r="AE20" s="53"/>
      <c r="AF20" s="53"/>
      <c r="AG20" s="53"/>
      <c r="AH20" s="53"/>
      <c r="AI20" s="53"/>
    </row>
    <row r="21" spans="1:35">
      <c r="A21" s="53"/>
      <c r="B21" s="53"/>
      <c r="C21" s="53"/>
      <c r="D21" s="53"/>
      <c r="E21" s="53"/>
      <c r="F21" s="53"/>
      <c r="G21" s="53"/>
      <c r="H21" s="53"/>
      <c r="I21" s="53"/>
      <c r="J21" s="53"/>
      <c r="K21" s="53"/>
      <c r="L21" s="53"/>
      <c r="M21" s="53"/>
      <c r="N21" s="53"/>
      <c r="O21" s="53"/>
      <c r="P21" s="35"/>
      <c r="Q21" s="53"/>
      <c r="R21" s="53"/>
      <c r="S21" s="53"/>
      <c r="T21" s="53"/>
      <c r="U21" s="53"/>
      <c r="V21" s="53"/>
      <c r="W21" s="53"/>
      <c r="X21" s="53"/>
      <c r="Y21" s="53"/>
      <c r="Z21" s="53"/>
      <c r="AA21" s="53"/>
      <c r="AB21" s="53"/>
      <c r="AC21" s="53"/>
      <c r="AD21" s="53"/>
      <c r="AE21" s="53"/>
      <c r="AF21" s="53"/>
      <c r="AG21" s="53"/>
      <c r="AH21" s="53"/>
      <c r="AI21" s="53"/>
    </row>
    <row r="22" spans="1:35">
      <c r="A22" s="53"/>
      <c r="B22" s="53"/>
      <c r="C22" s="53"/>
      <c r="D22" s="53"/>
      <c r="E22" s="53"/>
      <c r="F22" s="53"/>
      <c r="G22" s="53"/>
      <c r="H22" s="53"/>
      <c r="I22" s="53"/>
      <c r="J22" s="53"/>
      <c r="K22" s="53"/>
      <c r="L22" s="53"/>
      <c r="M22" s="53"/>
      <c r="N22" s="53"/>
      <c r="O22" s="53"/>
      <c r="P22" s="35"/>
      <c r="Q22" s="53"/>
      <c r="R22" s="53"/>
      <c r="S22" s="53"/>
      <c r="T22" s="53"/>
      <c r="U22" s="53"/>
      <c r="V22" s="53"/>
      <c r="W22" s="53"/>
      <c r="X22" s="53"/>
      <c r="Y22" s="53"/>
      <c r="Z22" s="53"/>
      <c r="AA22" s="53"/>
      <c r="AB22" s="53"/>
      <c r="AC22" s="53"/>
      <c r="AD22" s="53"/>
      <c r="AE22" s="53"/>
      <c r="AF22" s="53"/>
      <c r="AG22" s="53"/>
      <c r="AH22" s="53"/>
      <c r="AI22" s="53"/>
    </row>
    <row r="23" spans="1:35">
      <c r="A23" s="53"/>
      <c r="B23" s="53"/>
      <c r="C23" s="53"/>
      <c r="D23" s="53"/>
      <c r="E23" s="53"/>
      <c r="F23" s="53"/>
      <c r="G23" s="53"/>
      <c r="H23" s="53"/>
      <c r="I23" s="53"/>
      <c r="J23" s="53"/>
      <c r="K23" s="53"/>
      <c r="L23" s="53"/>
      <c r="M23" s="53"/>
      <c r="N23" s="53"/>
      <c r="O23" s="53"/>
      <c r="P23" s="35"/>
      <c r="Q23" s="53"/>
      <c r="R23" s="53"/>
      <c r="S23" s="53"/>
      <c r="T23" s="53"/>
      <c r="U23" s="53"/>
      <c r="V23" s="53"/>
      <c r="W23" s="53"/>
      <c r="X23" s="53"/>
      <c r="Y23" s="53"/>
      <c r="Z23" s="53"/>
      <c r="AA23" s="53"/>
      <c r="AB23" s="53"/>
      <c r="AC23" s="53"/>
      <c r="AD23" s="53"/>
      <c r="AE23" s="53"/>
      <c r="AF23" s="53"/>
      <c r="AG23" s="53"/>
      <c r="AH23" s="53"/>
      <c r="AI23" s="53"/>
    </row>
    <row r="24" spans="1:35">
      <c r="A24" s="53"/>
      <c r="B24" s="53"/>
      <c r="C24" s="53"/>
      <c r="D24" s="53"/>
      <c r="E24" s="53"/>
      <c r="F24" s="53"/>
      <c r="G24" s="53"/>
      <c r="H24" s="53"/>
      <c r="I24" s="53"/>
      <c r="J24" s="53"/>
      <c r="K24" s="53"/>
      <c r="L24" s="53"/>
      <c r="M24" s="53"/>
      <c r="N24" s="53"/>
      <c r="O24" s="30"/>
      <c r="P24" s="31"/>
      <c r="Q24" s="30"/>
      <c r="R24" s="30"/>
      <c r="S24" s="30"/>
      <c r="T24" s="30"/>
      <c r="U24" s="30"/>
      <c r="V24" s="53"/>
      <c r="W24" s="53"/>
      <c r="X24" s="53"/>
      <c r="Y24" s="53"/>
      <c r="Z24" s="53"/>
      <c r="AA24" s="53"/>
      <c r="AB24" s="53"/>
      <c r="AC24" s="53"/>
      <c r="AD24" s="53"/>
      <c r="AE24" s="53"/>
      <c r="AF24" s="53"/>
      <c r="AG24" s="53"/>
      <c r="AH24" s="53"/>
      <c r="AI24" s="53"/>
    </row>
    <row r="25" spans="1:35" ht="15">
      <c r="A25" s="53"/>
      <c r="B25" s="53"/>
      <c r="C25" s="53"/>
      <c r="D25" s="53"/>
      <c r="E25" s="53"/>
      <c r="F25" s="53"/>
      <c r="G25" s="53"/>
      <c r="H25" s="53"/>
      <c r="I25" s="53"/>
      <c r="J25" s="53"/>
      <c r="K25" s="53"/>
      <c r="L25" s="53"/>
      <c r="M25" s="53"/>
      <c r="N25" s="53"/>
      <c r="O25" s="32"/>
      <c r="P25" s="36"/>
      <c r="Q25" s="32"/>
      <c r="R25" s="32"/>
      <c r="S25" s="32"/>
      <c r="T25" s="32"/>
      <c r="U25" s="32"/>
      <c r="V25" s="53"/>
      <c r="W25" s="53"/>
      <c r="X25" s="53"/>
      <c r="Y25" s="53"/>
      <c r="Z25" s="53"/>
      <c r="AA25" s="53"/>
      <c r="AB25" s="53"/>
      <c r="AC25" s="53"/>
      <c r="AD25" s="53"/>
      <c r="AE25" s="53"/>
      <c r="AF25" s="53"/>
      <c r="AG25" s="53"/>
      <c r="AH25" s="53"/>
      <c r="AI25" s="53"/>
    </row>
    <row r="26" spans="1:35" ht="15">
      <c r="A26" s="53"/>
      <c r="B26" s="53"/>
      <c r="C26" s="53"/>
      <c r="D26" s="53"/>
      <c r="E26" s="53"/>
      <c r="F26" s="53"/>
      <c r="G26" s="53"/>
      <c r="H26" s="53"/>
      <c r="I26" s="53"/>
      <c r="J26" s="53"/>
      <c r="K26" s="53"/>
      <c r="L26" s="53"/>
      <c r="M26" s="53"/>
      <c r="N26" s="53"/>
      <c r="O26" s="34"/>
      <c r="P26" s="36"/>
      <c r="Q26" s="32"/>
      <c r="R26" s="32"/>
      <c r="S26" s="32"/>
      <c r="T26" s="32"/>
      <c r="U26" s="32"/>
      <c r="V26" s="53"/>
      <c r="W26" s="53"/>
      <c r="X26" s="53"/>
      <c r="Y26" s="53"/>
      <c r="Z26" s="53"/>
      <c r="AA26" s="53"/>
      <c r="AB26" s="53"/>
      <c r="AC26" s="53"/>
      <c r="AD26" s="53"/>
      <c r="AE26" s="53"/>
      <c r="AF26" s="53"/>
      <c r="AG26" s="53"/>
      <c r="AH26" s="53"/>
      <c r="AI26" s="53"/>
    </row>
    <row r="27" spans="1:35">
      <c r="A27" s="53"/>
      <c r="B27" s="53"/>
      <c r="C27" s="53"/>
      <c r="D27" s="53"/>
      <c r="E27" s="53"/>
      <c r="F27" s="53"/>
      <c r="G27" s="53"/>
      <c r="H27" s="53"/>
      <c r="I27" s="53"/>
      <c r="J27" s="53"/>
      <c r="K27" s="53"/>
      <c r="L27" s="53"/>
      <c r="M27" s="53"/>
      <c r="N27" s="53"/>
      <c r="O27" s="39"/>
      <c r="P27" s="40" t="str">
        <f>Pivot!B115</f>
        <v>R01</v>
      </c>
      <c r="Q27" s="41" t="str">
        <f>Pivot!C115</f>
        <v>R02</v>
      </c>
      <c r="R27" s="41" t="str">
        <f>Pivot!D115</f>
        <v>R03</v>
      </c>
      <c r="S27" s="41" t="str">
        <f>Pivot!E115</f>
        <v>R04</v>
      </c>
      <c r="T27" s="41" t="str">
        <f>Pivot!F115</f>
        <v>R05</v>
      </c>
      <c r="U27" s="42" t="s">
        <v>0</v>
      </c>
      <c r="V27" s="53"/>
      <c r="W27" s="53"/>
      <c r="X27" s="53"/>
      <c r="Y27" s="53"/>
      <c r="Z27" s="53"/>
      <c r="AA27" s="53"/>
      <c r="AB27" s="53"/>
      <c r="AC27" s="53"/>
      <c r="AD27" s="53"/>
      <c r="AE27" s="53"/>
      <c r="AF27" s="53"/>
      <c r="AG27" s="53"/>
      <c r="AH27" s="53"/>
      <c r="AI27" s="53"/>
    </row>
    <row r="28" spans="1:35">
      <c r="A28" s="53"/>
      <c r="B28" s="53"/>
      <c r="C28" s="53"/>
      <c r="D28" s="53"/>
      <c r="E28" s="53"/>
      <c r="F28" s="53"/>
      <c r="G28" s="53"/>
      <c r="H28" s="53"/>
      <c r="I28" s="53"/>
      <c r="J28" s="53"/>
      <c r="K28" s="53"/>
      <c r="L28" s="53"/>
      <c r="M28" s="53"/>
      <c r="N28" s="53"/>
      <c r="O28" s="38" t="str">
        <f>Pivot!A116</f>
        <v>Cincinnati</v>
      </c>
      <c r="P28" s="43"/>
      <c r="Q28" s="44"/>
      <c r="R28" s="44"/>
      <c r="S28" s="44"/>
      <c r="T28" s="44"/>
      <c r="U28" s="45"/>
      <c r="V28" s="53"/>
      <c r="W28" s="53"/>
      <c r="X28" s="53"/>
      <c r="Y28" s="53"/>
      <c r="Z28" s="53"/>
      <c r="AA28" s="53"/>
      <c r="AB28" s="53"/>
      <c r="AC28" s="53"/>
      <c r="AD28" s="53"/>
      <c r="AE28" s="53"/>
      <c r="AF28" s="53"/>
      <c r="AG28" s="53"/>
      <c r="AH28" s="53"/>
      <c r="AI28" s="53"/>
    </row>
    <row r="29" spans="1:35">
      <c r="A29" s="53"/>
      <c r="B29" s="53"/>
      <c r="C29" s="53"/>
      <c r="D29" s="53"/>
      <c r="E29" s="53"/>
      <c r="F29" s="53"/>
      <c r="G29" s="53"/>
      <c r="H29" s="53"/>
      <c r="I29" s="53"/>
      <c r="J29" s="53"/>
      <c r="K29" s="53"/>
      <c r="L29" s="53"/>
      <c r="M29" s="53"/>
      <c r="N29" s="53"/>
      <c r="O29" s="38" t="str">
        <f>Pivot!A117</f>
        <v>C0003</v>
      </c>
      <c r="P29" s="43">
        <f>Pivot!B117</f>
        <v>891</v>
      </c>
      <c r="Q29" s="44">
        <f>Pivot!C117</f>
        <v>1332</v>
      </c>
      <c r="R29" s="44">
        <f>Pivot!D117</f>
        <v>1282</v>
      </c>
      <c r="S29" s="44">
        <f>Pivot!E117</f>
        <v>739</v>
      </c>
      <c r="T29" s="44">
        <f>Pivot!F117</f>
        <v>560</v>
      </c>
      <c r="U29" s="45">
        <f>Pivot!G117</f>
        <v>4804</v>
      </c>
      <c r="V29" s="53"/>
      <c r="W29" s="53"/>
      <c r="X29" s="53"/>
      <c r="Y29" s="53"/>
      <c r="Z29" s="53"/>
      <c r="AA29" s="53"/>
      <c r="AB29" s="53"/>
      <c r="AC29" s="53"/>
      <c r="AD29" s="53"/>
      <c r="AE29" s="53"/>
      <c r="AF29" s="53"/>
      <c r="AG29" s="53"/>
      <c r="AH29" s="53"/>
      <c r="AI29" s="53"/>
    </row>
    <row r="30" spans="1:35">
      <c r="A30" s="53"/>
      <c r="B30" s="53"/>
      <c r="C30" s="53"/>
      <c r="D30" s="53"/>
      <c r="E30" s="53"/>
      <c r="F30" s="53"/>
      <c r="G30" s="53"/>
      <c r="H30" s="53"/>
      <c r="I30" s="53"/>
      <c r="J30" s="53"/>
      <c r="K30" s="53"/>
      <c r="L30" s="53"/>
      <c r="M30" s="53"/>
      <c r="N30" s="53"/>
      <c r="O30" s="38" t="str">
        <f>Pivot!A118</f>
        <v>C0004</v>
      </c>
      <c r="P30" s="43">
        <f>Pivot!B118</f>
        <v>1991</v>
      </c>
      <c r="Q30" s="46">
        <f>Pivot!C118</f>
        <v>1886</v>
      </c>
      <c r="R30" s="44">
        <f>Pivot!D118</f>
        <v>1206</v>
      </c>
      <c r="S30" s="44">
        <f>Pivot!E118</f>
        <v>884</v>
      </c>
      <c r="T30" s="44">
        <f>Pivot!F118</f>
        <v>1722</v>
      </c>
      <c r="U30" s="45">
        <f>Pivot!G118</f>
        <v>7689</v>
      </c>
      <c r="V30" s="53"/>
      <c r="W30" s="53"/>
      <c r="X30" s="53"/>
      <c r="Y30" s="53"/>
      <c r="Z30" s="53"/>
      <c r="AA30" s="53"/>
      <c r="AB30" s="53"/>
      <c r="AC30" s="53"/>
      <c r="AD30" s="53"/>
      <c r="AE30" s="53"/>
      <c r="AF30" s="53"/>
      <c r="AG30" s="53"/>
      <c r="AH30" s="53"/>
      <c r="AI30" s="53"/>
    </row>
    <row r="31" spans="1:35">
      <c r="A31" s="53"/>
      <c r="B31" s="53"/>
      <c r="C31" s="53"/>
      <c r="D31" s="53"/>
      <c r="E31" s="53"/>
      <c r="F31" s="53"/>
      <c r="G31" s="53"/>
      <c r="H31" s="53"/>
      <c r="I31" s="53"/>
      <c r="J31" s="53"/>
      <c r="K31" s="53"/>
      <c r="L31" s="55" t="e">
        <f ca="1">Pivot!F87</f>
        <v>#NAME?</v>
      </c>
      <c r="M31" s="55"/>
      <c r="N31" s="53"/>
      <c r="O31" s="38" t="str">
        <f>Pivot!A119</f>
        <v>C0011</v>
      </c>
      <c r="P31" s="43">
        <f>Pivot!B119</f>
        <v>1163</v>
      </c>
      <c r="Q31" s="44">
        <f>Pivot!C119</f>
        <v>1180</v>
      </c>
      <c r="R31" s="44">
        <f>Pivot!D119</f>
        <v>1616</v>
      </c>
      <c r="S31" s="44">
        <f>Pivot!E119</f>
        <v>1043</v>
      </c>
      <c r="T31" s="44">
        <f>Pivot!F119</f>
        <v>1747</v>
      </c>
      <c r="U31" s="45">
        <f>Pivot!G119</f>
        <v>6749</v>
      </c>
      <c r="V31" s="53"/>
      <c r="W31" s="53"/>
      <c r="X31" s="53"/>
      <c r="Y31" s="53"/>
      <c r="Z31" s="53"/>
      <c r="AA31" s="53"/>
      <c r="AB31" s="53"/>
      <c r="AC31" s="53"/>
      <c r="AD31" s="53"/>
      <c r="AE31" s="53"/>
      <c r="AF31" s="53"/>
      <c r="AG31" s="53"/>
      <c r="AH31" s="53"/>
      <c r="AI31" s="53"/>
    </row>
    <row r="32" spans="1:35" ht="14.25" customHeight="1">
      <c r="A32" s="53"/>
      <c r="B32" s="53"/>
      <c r="C32" s="53"/>
      <c r="D32" s="53"/>
      <c r="E32" s="53"/>
      <c r="F32" s="53"/>
      <c r="G32" s="53"/>
      <c r="H32" s="53"/>
      <c r="I32" s="53"/>
      <c r="J32" s="53"/>
      <c r="K32" s="53"/>
      <c r="L32" s="55"/>
      <c r="M32" s="55"/>
      <c r="N32" s="53"/>
      <c r="O32" s="38" t="str">
        <f>Pivot!A120</f>
        <v>C0012</v>
      </c>
      <c r="P32" s="43">
        <f>Pivot!B120</f>
        <v>1438</v>
      </c>
      <c r="Q32" s="44">
        <f>Pivot!C120</f>
        <v>1616</v>
      </c>
      <c r="R32" s="44">
        <f>Pivot!D120</f>
        <v>866</v>
      </c>
      <c r="S32" s="44">
        <f>Pivot!E120</f>
        <v>829</v>
      </c>
      <c r="T32" s="44">
        <f>Pivot!F120</f>
        <v>2070</v>
      </c>
      <c r="U32" s="45">
        <f>Pivot!G120</f>
        <v>6819</v>
      </c>
      <c r="V32" s="53"/>
      <c r="W32" s="53"/>
      <c r="X32" s="53"/>
      <c r="Y32" s="53"/>
      <c r="Z32" s="53"/>
      <c r="AA32" s="53"/>
      <c r="AB32" s="53"/>
      <c r="AC32" s="53"/>
      <c r="AD32" s="53"/>
      <c r="AE32" s="53"/>
      <c r="AF32" s="53"/>
      <c r="AG32" s="53"/>
      <c r="AH32" s="53"/>
      <c r="AI32" s="53"/>
    </row>
    <row r="33" spans="1:35" ht="14.25" customHeight="1">
      <c r="A33" s="53"/>
      <c r="B33" s="53"/>
      <c r="C33" s="53"/>
      <c r="D33" s="53"/>
      <c r="E33" s="53"/>
      <c r="F33" s="53"/>
      <c r="G33" s="53"/>
      <c r="H33" s="53"/>
      <c r="I33" s="53"/>
      <c r="J33" s="53"/>
      <c r="K33" s="53"/>
      <c r="L33" s="55"/>
      <c r="M33" s="55"/>
      <c r="N33" s="53"/>
      <c r="O33" s="38" t="str">
        <f>Pivot!A121</f>
        <v>Cleveland</v>
      </c>
      <c r="P33" s="43"/>
      <c r="Q33" s="44"/>
      <c r="R33" s="44"/>
      <c r="S33" s="44"/>
      <c r="T33" s="44"/>
      <c r="U33" s="45"/>
      <c r="V33" s="53"/>
      <c r="W33" s="53"/>
      <c r="X33" s="53"/>
      <c r="Y33" s="53"/>
      <c r="Z33" s="53"/>
      <c r="AA33" s="53"/>
      <c r="AB33" s="53"/>
      <c r="AC33" s="53"/>
      <c r="AD33" s="53"/>
      <c r="AE33" s="53"/>
      <c r="AF33" s="53"/>
      <c r="AG33" s="53"/>
      <c r="AH33" s="53"/>
      <c r="AI33" s="53"/>
    </row>
    <row r="34" spans="1:35" ht="14.25" customHeight="1">
      <c r="A34" s="53"/>
      <c r="B34" s="53"/>
      <c r="C34" s="53"/>
      <c r="D34" s="53"/>
      <c r="E34" s="53"/>
      <c r="F34" s="53"/>
      <c r="G34" s="53"/>
      <c r="H34" s="53"/>
      <c r="I34" s="53"/>
      <c r="J34" s="53"/>
      <c r="K34" s="53"/>
      <c r="L34" s="55"/>
      <c r="M34" s="55"/>
      <c r="N34" s="53"/>
      <c r="O34" s="38" t="str">
        <f>Pivot!A122</f>
        <v>C0002</v>
      </c>
      <c r="P34" s="43">
        <f>Pivot!B122</f>
        <v>1233</v>
      </c>
      <c r="Q34" s="44">
        <f>Pivot!C122</f>
        <v>223</v>
      </c>
      <c r="R34" s="44">
        <f>Pivot!D122</f>
        <v>1680</v>
      </c>
      <c r="S34" s="44">
        <f>Pivot!E122</f>
        <v>990</v>
      </c>
      <c r="T34" s="44">
        <f>Pivot!F122</f>
        <v>1508</v>
      </c>
      <c r="U34" s="45">
        <f>Pivot!G122</f>
        <v>5634</v>
      </c>
      <c r="V34" s="53"/>
      <c r="W34" s="53"/>
      <c r="X34" s="53"/>
      <c r="Y34" s="53"/>
      <c r="Z34" s="53"/>
      <c r="AA34" s="53"/>
      <c r="AB34" s="53"/>
      <c r="AC34" s="53"/>
      <c r="AD34" s="53"/>
      <c r="AE34" s="53"/>
      <c r="AF34" s="53"/>
      <c r="AG34" s="53"/>
      <c r="AH34" s="53"/>
      <c r="AI34" s="53"/>
    </row>
    <row r="35" spans="1:35" ht="14.25" customHeight="1">
      <c r="A35" s="53"/>
      <c r="B35" s="53"/>
      <c r="C35" s="53"/>
      <c r="D35" s="53"/>
      <c r="E35" s="53"/>
      <c r="F35" s="53"/>
      <c r="G35" s="53"/>
      <c r="H35" s="53"/>
      <c r="I35" s="53"/>
      <c r="J35" s="53"/>
      <c r="K35" s="53"/>
      <c r="L35" s="55"/>
      <c r="M35" s="55"/>
      <c r="N35" s="53"/>
      <c r="O35" s="38" t="str">
        <f>Pivot!A123</f>
        <v>C0007</v>
      </c>
      <c r="P35" s="43">
        <f>Pivot!B123</f>
        <v>1598</v>
      </c>
      <c r="Q35" s="44">
        <f>Pivot!C123</f>
        <v>1907</v>
      </c>
      <c r="R35" s="44">
        <f>Pivot!D123</f>
        <v>869</v>
      </c>
      <c r="S35" s="44">
        <f>Pivot!E123</f>
        <v>1426</v>
      </c>
      <c r="T35" s="44">
        <f>Pivot!F123</f>
        <v>1416</v>
      </c>
      <c r="U35" s="45">
        <f>Pivot!G123</f>
        <v>7216</v>
      </c>
      <c r="V35" s="53"/>
      <c r="W35" s="53"/>
      <c r="X35" s="53"/>
      <c r="Y35" s="53"/>
      <c r="Z35" s="53"/>
      <c r="AA35" s="53"/>
      <c r="AB35" s="53"/>
      <c r="AC35" s="53"/>
      <c r="AD35" s="53"/>
      <c r="AE35" s="53"/>
      <c r="AF35" s="53"/>
      <c r="AG35" s="53"/>
      <c r="AH35" s="53"/>
      <c r="AI35" s="53"/>
    </row>
    <row r="36" spans="1:35">
      <c r="A36" s="53"/>
      <c r="B36" s="53"/>
      <c r="C36" s="53"/>
      <c r="D36" s="53"/>
      <c r="E36" s="53"/>
      <c r="F36" s="53"/>
      <c r="G36" s="53"/>
      <c r="H36" s="53"/>
      <c r="I36" s="53"/>
      <c r="J36" s="53"/>
      <c r="K36" s="53"/>
      <c r="L36" s="55"/>
      <c r="M36" s="55"/>
      <c r="N36" s="53"/>
      <c r="O36" s="38" t="str">
        <f>Pivot!A124</f>
        <v>C0008</v>
      </c>
      <c r="P36" s="43">
        <f>Pivot!B124</f>
        <v>900</v>
      </c>
      <c r="Q36" s="44">
        <f>Pivot!C124</f>
        <v>1016</v>
      </c>
      <c r="R36" s="44">
        <f>Pivot!D124</f>
        <v>960</v>
      </c>
      <c r="S36" s="44">
        <f>Pivot!E124</f>
        <v>940</v>
      </c>
      <c r="T36" s="44">
        <f>Pivot!F124</f>
        <v>1193</v>
      </c>
      <c r="U36" s="45">
        <f>Pivot!G124</f>
        <v>5009</v>
      </c>
      <c r="V36" s="53"/>
      <c r="W36" s="53"/>
      <c r="X36" s="53"/>
      <c r="Y36" s="53"/>
      <c r="Z36" s="53"/>
      <c r="AA36" s="53"/>
      <c r="AB36" s="53"/>
      <c r="AC36" s="53"/>
      <c r="AD36" s="53"/>
      <c r="AE36" s="53"/>
      <c r="AF36" s="53"/>
      <c r="AG36" s="53"/>
      <c r="AH36" s="53"/>
      <c r="AI36" s="53"/>
    </row>
    <row r="37" spans="1:35" ht="15">
      <c r="A37" s="53"/>
      <c r="B37" s="53"/>
      <c r="C37" s="53"/>
      <c r="D37" s="53"/>
      <c r="E37" s="53"/>
      <c r="F37" s="53"/>
      <c r="G37" s="53"/>
      <c r="H37" s="53"/>
      <c r="I37" s="53"/>
      <c r="J37" s="53"/>
      <c r="K37" s="53"/>
      <c r="L37" s="54"/>
      <c r="M37" s="56" t="str">
        <f>Pivot!F84</f>
        <v>% of calls:22%</v>
      </c>
      <c r="N37" s="57"/>
      <c r="O37" s="38" t="str">
        <f>Pivot!A125</f>
        <v>C0010</v>
      </c>
      <c r="P37" s="43">
        <f>Pivot!B125</f>
        <v>900</v>
      </c>
      <c r="Q37" s="44">
        <f>Pivot!C125</f>
        <v>1470</v>
      </c>
      <c r="R37" s="44">
        <f>Pivot!D125</f>
        <v>1617</v>
      </c>
      <c r="S37" s="44">
        <f>Pivot!E125</f>
        <v>1314</v>
      </c>
      <c r="T37" s="44">
        <f>Pivot!F125</f>
        <v>941</v>
      </c>
      <c r="U37" s="45">
        <f>Pivot!G125</f>
        <v>6242</v>
      </c>
      <c r="V37" s="53"/>
      <c r="W37" s="53"/>
      <c r="X37" s="53"/>
      <c r="Y37" s="53"/>
      <c r="Z37" s="53"/>
      <c r="AA37" s="53"/>
      <c r="AB37" s="53"/>
      <c r="AC37" s="53"/>
      <c r="AD37" s="53"/>
      <c r="AE37" s="53"/>
      <c r="AF37" s="53"/>
      <c r="AG37" s="53"/>
      <c r="AH37" s="53"/>
      <c r="AI37" s="53"/>
    </row>
    <row r="38" spans="1:35" ht="14.25" customHeight="1">
      <c r="A38" s="53"/>
      <c r="B38" s="53"/>
      <c r="C38" s="53"/>
      <c r="D38" s="53"/>
      <c r="E38" s="53"/>
      <c r="F38" s="53"/>
      <c r="G38" s="53"/>
      <c r="H38" s="53"/>
      <c r="I38" s="53"/>
      <c r="J38" s="53"/>
      <c r="K38" s="53"/>
      <c r="L38" s="54"/>
      <c r="M38" s="56" t="e">
        <f ca="1">Pivot!F85</f>
        <v>#NAME?</v>
      </c>
      <c r="N38" s="57"/>
      <c r="O38" s="38" t="str">
        <f>Pivot!A126</f>
        <v>C0013</v>
      </c>
      <c r="P38" s="43">
        <f>Pivot!B126</f>
        <v>1255</v>
      </c>
      <c r="Q38" s="44">
        <f>Pivot!C126</f>
        <v>516</v>
      </c>
      <c r="R38" s="44">
        <f>Pivot!D126</f>
        <v>1874</v>
      </c>
      <c r="S38" s="44">
        <f>Pivot!E126</f>
        <v>1863</v>
      </c>
      <c r="T38" s="44">
        <f>Pivot!F126</f>
        <v>1722</v>
      </c>
      <c r="U38" s="45">
        <f>Pivot!G126</f>
        <v>7230</v>
      </c>
      <c r="V38" s="53"/>
      <c r="W38" s="53"/>
      <c r="X38" s="53"/>
      <c r="Y38" s="53"/>
      <c r="Z38" s="53"/>
      <c r="AA38" s="53"/>
      <c r="AB38" s="53"/>
      <c r="AC38" s="53"/>
      <c r="AD38" s="53"/>
      <c r="AE38" s="53"/>
      <c r="AF38" s="53"/>
      <c r="AG38" s="53"/>
      <c r="AH38" s="53"/>
      <c r="AI38" s="53"/>
    </row>
    <row r="39" spans="1:35" ht="14.25" customHeight="1">
      <c r="A39" s="53"/>
      <c r="B39" s="53"/>
      <c r="C39" s="53"/>
      <c r="D39" s="53"/>
      <c r="E39" s="53"/>
      <c r="F39" s="53"/>
      <c r="G39" s="53"/>
      <c r="H39" s="53"/>
      <c r="I39" s="53"/>
      <c r="J39" s="53"/>
      <c r="K39" s="53"/>
      <c r="L39" s="54"/>
      <c r="M39" s="56" t="e">
        <f ca="1">Pivot!F86</f>
        <v>#NAME?</v>
      </c>
      <c r="N39" s="57"/>
      <c r="O39" s="38" t="str">
        <f>Pivot!A127</f>
        <v>C0015</v>
      </c>
      <c r="P39" s="43">
        <f>Pivot!B127</f>
        <v>1138</v>
      </c>
      <c r="Q39" s="44">
        <f>Pivot!C127</f>
        <v>1898</v>
      </c>
      <c r="R39" s="44">
        <f>Pivot!D127</f>
        <v>1482</v>
      </c>
      <c r="S39" s="44">
        <f>Pivot!E127</f>
        <v>846</v>
      </c>
      <c r="T39" s="44">
        <f>Pivot!F127</f>
        <v>1154</v>
      </c>
      <c r="U39" s="45">
        <f>Pivot!G127</f>
        <v>6518</v>
      </c>
      <c r="V39" s="53"/>
      <c r="W39" s="53"/>
      <c r="X39" s="53"/>
      <c r="Y39" s="53"/>
      <c r="Z39" s="53"/>
      <c r="AA39" s="53"/>
      <c r="AB39" s="53"/>
      <c r="AC39" s="53"/>
      <c r="AD39" s="53"/>
      <c r="AE39" s="53"/>
      <c r="AF39" s="53"/>
      <c r="AG39" s="53"/>
      <c r="AH39" s="53"/>
      <c r="AI39" s="53"/>
    </row>
    <row r="40" spans="1:35" ht="14.25" customHeight="1">
      <c r="A40" s="53"/>
      <c r="B40" s="53"/>
      <c r="C40" s="53"/>
      <c r="D40" s="53"/>
      <c r="E40" s="53"/>
      <c r="F40" s="53"/>
      <c r="G40" s="53"/>
      <c r="H40" s="53"/>
      <c r="I40" s="53"/>
      <c r="J40" s="53"/>
      <c r="K40" s="53"/>
      <c r="L40" s="54"/>
      <c r="M40" s="54"/>
      <c r="N40" s="53"/>
      <c r="O40" s="38" t="str">
        <f>Pivot!A128</f>
        <v>Columbus</v>
      </c>
      <c r="P40" s="43"/>
      <c r="Q40" s="44"/>
      <c r="R40" s="44"/>
      <c r="S40" s="44"/>
      <c r="T40" s="44"/>
      <c r="U40" s="45"/>
      <c r="V40" s="53"/>
      <c r="W40" s="53"/>
      <c r="X40" s="53"/>
      <c r="Y40" s="53"/>
      <c r="Z40" s="53"/>
      <c r="AA40" s="53"/>
      <c r="AB40" s="53"/>
      <c r="AC40" s="53"/>
      <c r="AD40" s="53"/>
      <c r="AE40" s="53"/>
      <c r="AF40" s="53"/>
      <c r="AG40" s="53"/>
      <c r="AH40" s="53"/>
      <c r="AI40" s="53"/>
    </row>
    <row r="41" spans="1:35" ht="15">
      <c r="A41" s="53"/>
      <c r="B41" s="53"/>
      <c r="C41" s="53"/>
      <c r="D41" s="53"/>
      <c r="E41" s="53"/>
      <c r="F41" s="53"/>
      <c r="G41" s="53"/>
      <c r="H41" s="53"/>
      <c r="I41" s="53"/>
      <c r="J41" s="53"/>
      <c r="K41" s="53"/>
      <c r="L41" s="53"/>
      <c r="M41" s="53"/>
      <c r="N41" s="53"/>
      <c r="O41" s="38" t="str">
        <f>Pivot!A129</f>
        <v>C0001</v>
      </c>
      <c r="P41" s="43">
        <f>Pivot!B129</f>
        <v>1655</v>
      </c>
      <c r="Q41" s="44">
        <f>Pivot!C129</f>
        <v>805</v>
      </c>
      <c r="R41" s="44">
        <f>Pivot!D129</f>
        <v>2263</v>
      </c>
      <c r="S41" s="44">
        <f>Pivot!E129</f>
        <v>987</v>
      </c>
      <c r="T41" s="44">
        <f>Pivot!F129</f>
        <v>1075</v>
      </c>
      <c r="U41" s="47">
        <f>Pivot!G129</f>
        <v>6785</v>
      </c>
      <c r="V41" s="53"/>
      <c r="W41" s="33"/>
      <c r="X41" s="53"/>
      <c r="Y41" s="53"/>
      <c r="Z41" s="53"/>
      <c r="AA41" s="53"/>
      <c r="AB41" s="53"/>
      <c r="AC41" s="53"/>
      <c r="AD41" s="53"/>
      <c r="AE41" s="53"/>
      <c r="AF41" s="53"/>
      <c r="AG41" s="53"/>
      <c r="AH41" s="53"/>
      <c r="AI41" s="53"/>
    </row>
    <row r="42" spans="1:35" ht="15">
      <c r="A42" s="53"/>
      <c r="B42" s="53"/>
      <c r="C42" s="53"/>
      <c r="D42" s="53"/>
      <c r="E42" s="53"/>
      <c r="F42" s="53"/>
      <c r="G42" s="53"/>
      <c r="H42" s="53"/>
      <c r="I42" s="53"/>
      <c r="J42" s="53"/>
      <c r="K42" s="53"/>
      <c r="L42" s="53"/>
      <c r="M42" s="53"/>
      <c r="N42" s="53"/>
      <c r="O42" s="38" t="str">
        <f>Pivot!A130</f>
        <v>C0005</v>
      </c>
      <c r="P42" s="43">
        <f>Pivot!B130</f>
        <v>1104</v>
      </c>
      <c r="Q42" s="44">
        <f>Pivot!C130</f>
        <v>2280</v>
      </c>
      <c r="R42" s="44">
        <f>Pivot!D130</f>
        <v>1445</v>
      </c>
      <c r="S42" s="44">
        <f>Pivot!E130</f>
        <v>1722</v>
      </c>
      <c r="T42" s="44">
        <f>Pivot!F130</f>
        <v>1196</v>
      </c>
      <c r="U42" s="47">
        <f>Pivot!G130</f>
        <v>7747</v>
      </c>
      <c r="V42" s="53"/>
      <c r="W42" s="33"/>
      <c r="X42" s="53"/>
      <c r="Y42" s="53"/>
      <c r="Z42" s="53"/>
      <c r="AA42" s="53"/>
      <c r="AB42" s="53"/>
      <c r="AC42" s="53"/>
      <c r="AD42" s="53"/>
      <c r="AE42" s="53"/>
      <c r="AF42" s="53"/>
      <c r="AG42" s="53"/>
      <c r="AH42" s="53"/>
      <c r="AI42" s="53"/>
    </row>
    <row r="43" spans="1:35" ht="15">
      <c r="A43" s="53"/>
      <c r="B43" s="53"/>
      <c r="C43" s="53"/>
      <c r="D43" s="53"/>
      <c r="E43" s="53"/>
      <c r="F43" s="53"/>
      <c r="G43" s="53"/>
      <c r="H43" s="53"/>
      <c r="I43" s="53"/>
      <c r="J43" s="53"/>
      <c r="K43" s="53"/>
      <c r="L43" s="53"/>
      <c r="M43" s="53"/>
      <c r="N43" s="53"/>
      <c r="O43" s="38" t="str">
        <f>Pivot!A131</f>
        <v>C0006</v>
      </c>
      <c r="P43" s="43">
        <f>Pivot!B131</f>
        <v>372</v>
      </c>
      <c r="Q43" s="44">
        <f>Pivot!C131</f>
        <v>1818</v>
      </c>
      <c r="R43" s="44">
        <f>Pivot!D131</f>
        <v>1346</v>
      </c>
      <c r="S43" s="44">
        <f>Pivot!E131</f>
        <v>1156</v>
      </c>
      <c r="T43" s="44">
        <f>Pivot!F131</f>
        <v>1484</v>
      </c>
      <c r="U43" s="47">
        <f>Pivot!G131</f>
        <v>6176</v>
      </c>
      <c r="V43" s="53"/>
      <c r="W43" s="33"/>
      <c r="X43" s="53"/>
      <c r="Y43" s="53"/>
      <c r="Z43" s="53"/>
      <c r="AA43" s="53"/>
      <c r="AB43" s="53"/>
      <c r="AC43" s="53"/>
      <c r="AD43" s="53"/>
      <c r="AE43" s="53"/>
      <c r="AF43" s="53"/>
      <c r="AG43" s="53"/>
      <c r="AH43" s="53"/>
      <c r="AI43" s="53"/>
    </row>
    <row r="44" spans="1:35" ht="15">
      <c r="A44" s="53"/>
      <c r="B44" s="53"/>
      <c r="C44" s="53"/>
      <c r="D44" s="53"/>
      <c r="E44" s="53"/>
      <c r="F44" s="53"/>
      <c r="G44" s="53"/>
      <c r="H44" s="53"/>
      <c r="I44" s="53"/>
      <c r="J44" s="53"/>
      <c r="K44" s="53"/>
      <c r="L44" s="53"/>
      <c r="M44" s="53"/>
      <c r="N44" s="53"/>
      <c r="O44" s="38" t="str">
        <f>Pivot!A132</f>
        <v>C0009</v>
      </c>
      <c r="P44" s="43">
        <f>Pivot!B132</f>
        <v>1415</v>
      </c>
      <c r="Q44" s="44">
        <f>Pivot!C132</f>
        <v>1271</v>
      </c>
      <c r="R44" s="44">
        <f>Pivot!D132</f>
        <v>1214</v>
      </c>
      <c r="S44" s="44">
        <f>Pivot!E132</f>
        <v>1135</v>
      </c>
      <c r="T44" s="44">
        <f>Pivot!F132</f>
        <v>1566</v>
      </c>
      <c r="U44" s="47">
        <f>Pivot!G132</f>
        <v>6601</v>
      </c>
      <c r="V44" s="53"/>
      <c r="W44" s="33"/>
      <c r="X44" s="53"/>
      <c r="Y44" s="53"/>
      <c r="Z44" s="53"/>
      <c r="AA44" s="53"/>
      <c r="AB44" s="53"/>
      <c r="AC44" s="53"/>
      <c r="AD44" s="53"/>
      <c r="AE44" s="53"/>
      <c r="AF44" s="53"/>
      <c r="AG44" s="53"/>
      <c r="AH44" s="53"/>
      <c r="AI44" s="53"/>
    </row>
    <row r="45" spans="1:35" ht="15">
      <c r="A45" s="53"/>
      <c r="B45" s="53"/>
      <c r="C45" s="53"/>
      <c r="D45" s="53"/>
      <c r="E45" s="53"/>
      <c r="F45" s="53"/>
      <c r="G45" s="53"/>
      <c r="H45" s="53"/>
      <c r="I45" s="53"/>
      <c r="J45" s="53"/>
      <c r="K45" s="53"/>
      <c r="L45" s="53"/>
      <c r="M45" s="53"/>
      <c r="N45" s="53"/>
      <c r="O45" s="48" t="str">
        <f>Pivot!A133</f>
        <v>C0014</v>
      </c>
      <c r="P45" s="49">
        <f>Pivot!B133</f>
        <v>1362</v>
      </c>
      <c r="Q45" s="50">
        <f>Pivot!C133</f>
        <v>1363</v>
      </c>
      <c r="R45" s="50">
        <f>Pivot!D133</f>
        <v>1152</v>
      </c>
      <c r="S45" s="50">
        <f>Pivot!E133</f>
        <v>777</v>
      </c>
      <c r="T45" s="50">
        <f>Pivot!F133</f>
        <v>750</v>
      </c>
      <c r="U45" s="51">
        <f>Pivot!G133</f>
        <v>5404</v>
      </c>
      <c r="V45" s="53"/>
      <c r="W45" s="33"/>
      <c r="X45" s="53"/>
      <c r="Y45" s="53"/>
      <c r="Z45" s="53"/>
      <c r="AA45" s="53"/>
      <c r="AB45" s="53"/>
      <c r="AC45" s="53"/>
      <c r="AD45" s="53"/>
      <c r="AE45" s="53"/>
      <c r="AF45" s="53"/>
      <c r="AG45" s="53"/>
      <c r="AH45" s="53"/>
      <c r="AI45" s="53"/>
    </row>
    <row r="46" spans="1:35" ht="15">
      <c r="A46" s="53"/>
      <c r="B46" s="53"/>
      <c r="C46" s="53"/>
      <c r="D46" s="53"/>
      <c r="E46" s="53"/>
      <c r="F46" s="53"/>
      <c r="G46" s="53"/>
      <c r="H46" s="53"/>
      <c r="I46" s="53"/>
      <c r="J46" s="53"/>
      <c r="K46" s="53"/>
      <c r="L46" s="53"/>
      <c r="M46" s="53"/>
      <c r="N46" s="53"/>
      <c r="O46" s="53"/>
      <c r="P46" s="35"/>
      <c r="Q46" s="53"/>
      <c r="R46" s="53"/>
      <c r="S46" s="53"/>
      <c r="T46" s="53"/>
      <c r="U46" s="53"/>
      <c r="V46" s="53"/>
      <c r="W46" s="33"/>
      <c r="X46" s="53"/>
      <c r="Y46" s="53"/>
      <c r="Z46" s="53"/>
      <c r="AA46" s="53"/>
      <c r="AB46" s="53"/>
      <c r="AC46" s="53"/>
      <c r="AD46" s="53"/>
      <c r="AE46" s="53"/>
      <c r="AF46" s="53"/>
      <c r="AG46" s="53"/>
      <c r="AH46" s="53"/>
      <c r="AI46" s="53"/>
    </row>
    <row r="47" spans="1:35">
      <c r="A47" s="53"/>
      <c r="B47" s="53"/>
      <c r="C47" s="53"/>
      <c r="D47" s="53"/>
      <c r="E47" s="53"/>
      <c r="F47" s="53"/>
      <c r="G47" s="53"/>
      <c r="H47" s="53"/>
      <c r="I47" s="53"/>
      <c r="J47" s="53"/>
      <c r="K47" s="53"/>
      <c r="L47" s="53"/>
      <c r="M47" s="53"/>
      <c r="N47" s="53"/>
      <c r="O47" s="53"/>
      <c r="P47" s="35"/>
      <c r="Q47" s="53"/>
      <c r="R47" s="53"/>
      <c r="S47" s="53"/>
      <c r="T47" s="53"/>
      <c r="U47" s="53"/>
      <c r="V47" s="53"/>
      <c r="W47" s="53"/>
      <c r="X47" s="53"/>
      <c r="Y47" s="53"/>
      <c r="Z47" s="53"/>
      <c r="AA47" s="53"/>
      <c r="AB47" s="53"/>
      <c r="AC47" s="53"/>
      <c r="AD47" s="53"/>
      <c r="AE47" s="53"/>
      <c r="AF47" s="53"/>
      <c r="AG47" s="53"/>
      <c r="AH47" s="53"/>
      <c r="AI47" s="53"/>
    </row>
    <row r="48" spans="1:35">
      <c r="A48" s="53"/>
      <c r="B48" s="53"/>
      <c r="C48" s="53"/>
      <c r="D48" s="53"/>
      <c r="E48" s="53"/>
      <c r="F48" s="53"/>
      <c r="G48" s="53"/>
      <c r="H48" s="53"/>
      <c r="I48" s="53"/>
      <c r="J48" s="53"/>
      <c r="K48" s="53"/>
      <c r="L48" s="53"/>
      <c r="M48" s="53"/>
      <c r="N48" s="53"/>
      <c r="O48" s="53"/>
      <c r="P48" s="35"/>
      <c r="Q48" s="53"/>
      <c r="R48" s="53"/>
      <c r="S48" s="53"/>
      <c r="T48" s="53"/>
      <c r="U48" s="53"/>
      <c r="V48" s="53"/>
      <c r="W48" s="53"/>
      <c r="X48" s="53"/>
      <c r="Y48" s="53"/>
      <c r="Z48" s="53"/>
      <c r="AA48" s="53"/>
      <c r="AB48" s="53"/>
      <c r="AC48" s="53"/>
      <c r="AD48" s="53"/>
      <c r="AE48" s="53"/>
      <c r="AF48" s="53"/>
      <c r="AG48" s="53"/>
      <c r="AH48" s="53"/>
      <c r="AI48" s="53"/>
    </row>
    <row r="49" spans="1:35">
      <c r="A49" s="53"/>
      <c r="B49" s="53"/>
      <c r="C49" s="53"/>
      <c r="D49" s="53"/>
      <c r="E49" s="53"/>
      <c r="F49" s="53"/>
      <c r="G49" s="53"/>
      <c r="H49" s="53"/>
      <c r="I49" s="53"/>
      <c r="J49" s="53"/>
      <c r="K49" s="53"/>
      <c r="L49" s="53"/>
      <c r="M49" s="53"/>
      <c r="N49" s="53"/>
      <c r="O49" s="53"/>
      <c r="P49" s="35"/>
      <c r="Q49" s="53"/>
      <c r="R49" s="53"/>
      <c r="S49" s="53"/>
      <c r="T49" s="53"/>
      <c r="U49" s="53"/>
      <c r="V49" s="53"/>
      <c r="W49" s="53"/>
      <c r="X49" s="53"/>
      <c r="Y49" s="53"/>
      <c r="Z49" s="53"/>
      <c r="AA49" s="53"/>
      <c r="AB49" s="53"/>
      <c r="AC49" s="53"/>
      <c r="AD49" s="53"/>
      <c r="AE49" s="53"/>
      <c r="AF49" s="53"/>
      <c r="AG49" s="53"/>
      <c r="AH49" s="53"/>
      <c r="AI49" s="53"/>
    </row>
    <row r="50" spans="1:35">
      <c r="A50" s="53"/>
      <c r="B50" s="53"/>
      <c r="C50" s="53"/>
      <c r="D50" s="53"/>
      <c r="E50" s="53"/>
      <c r="F50" s="53"/>
      <c r="G50" s="53"/>
      <c r="H50" s="53"/>
      <c r="I50" s="53"/>
      <c r="J50" s="53"/>
      <c r="K50" s="53"/>
      <c r="L50" s="53"/>
      <c r="M50" s="53"/>
      <c r="N50" s="53"/>
      <c r="O50" s="53"/>
      <c r="P50" s="35"/>
      <c r="Q50" s="53"/>
      <c r="R50" s="53"/>
      <c r="S50" s="53"/>
      <c r="T50" s="53"/>
      <c r="U50" s="53"/>
      <c r="V50" s="53"/>
      <c r="W50" s="53"/>
      <c r="X50" s="53"/>
      <c r="Y50" s="53"/>
      <c r="Z50" s="53"/>
      <c r="AA50" s="53"/>
      <c r="AB50" s="53"/>
      <c r="AC50" s="53"/>
      <c r="AD50" s="53"/>
      <c r="AE50" s="53"/>
      <c r="AF50" s="53"/>
      <c r="AG50" s="53"/>
      <c r="AH50" s="53"/>
      <c r="AI50" s="53"/>
    </row>
    <row r="51" spans="1:35">
      <c r="A51" s="53"/>
      <c r="B51" s="53"/>
      <c r="C51" s="53"/>
      <c r="D51" s="53"/>
      <c r="E51" s="53"/>
      <c r="F51" s="53"/>
      <c r="G51" s="53"/>
      <c r="H51" s="53"/>
      <c r="I51" s="53"/>
      <c r="J51" s="53"/>
      <c r="K51" s="53"/>
      <c r="L51" s="53"/>
      <c r="M51" s="53"/>
      <c r="N51" s="53"/>
      <c r="O51" s="53"/>
      <c r="P51" s="35"/>
      <c r="Q51" s="53"/>
      <c r="R51" s="53"/>
      <c r="S51" s="53"/>
      <c r="T51" s="53"/>
      <c r="U51" s="53"/>
      <c r="V51" s="53"/>
      <c r="W51" s="53"/>
      <c r="X51" s="53"/>
      <c r="Y51" s="53"/>
      <c r="Z51" s="53"/>
      <c r="AA51" s="53"/>
      <c r="AB51" s="53"/>
      <c r="AC51" s="53"/>
      <c r="AD51" s="53"/>
      <c r="AE51" s="53"/>
      <c r="AF51" s="53"/>
      <c r="AG51" s="53"/>
      <c r="AH51" s="53"/>
      <c r="AI51" s="53"/>
    </row>
    <row r="52" spans="1:35">
      <c r="A52" s="53"/>
      <c r="B52" s="53"/>
      <c r="C52" s="53"/>
      <c r="D52" s="53"/>
      <c r="E52" s="53"/>
      <c r="F52" s="53"/>
      <c r="G52" s="53"/>
      <c r="H52" s="53"/>
      <c r="I52" s="53"/>
      <c r="J52" s="53"/>
      <c r="K52" s="53"/>
      <c r="L52" s="53"/>
      <c r="M52" s="53"/>
      <c r="N52" s="53"/>
      <c r="O52" s="53"/>
      <c r="P52" s="35"/>
      <c r="Q52" s="53"/>
      <c r="R52" s="53"/>
      <c r="S52" s="53"/>
      <c r="T52" s="53"/>
      <c r="U52" s="53"/>
      <c r="V52" s="53"/>
      <c r="W52" s="53"/>
      <c r="X52" s="53"/>
      <c r="Y52" s="53"/>
      <c r="Z52" s="53"/>
      <c r="AA52" s="53"/>
      <c r="AB52" s="53"/>
      <c r="AC52" s="53"/>
      <c r="AD52" s="53"/>
      <c r="AE52" s="53"/>
      <c r="AF52" s="53"/>
      <c r="AG52" s="53"/>
      <c r="AH52" s="53"/>
      <c r="AI52" s="53"/>
    </row>
    <row r="53" spans="1:35">
      <c r="A53" s="53"/>
      <c r="B53" s="53"/>
      <c r="C53" s="53"/>
      <c r="D53" s="53"/>
      <c r="E53" s="53"/>
      <c r="F53" s="53"/>
      <c r="G53" s="53"/>
      <c r="H53" s="53"/>
      <c r="I53" s="53"/>
      <c r="J53" s="53"/>
      <c r="K53" s="53"/>
      <c r="L53" s="53"/>
      <c r="M53" s="53"/>
      <c r="N53" s="53"/>
      <c r="O53" s="53"/>
      <c r="P53" s="35"/>
      <c r="Q53" s="53"/>
      <c r="R53" s="53"/>
      <c r="S53" s="53"/>
      <c r="T53" s="53"/>
      <c r="U53" s="53"/>
      <c r="V53" s="53"/>
      <c r="W53" s="53"/>
      <c r="X53" s="53"/>
      <c r="Y53" s="53"/>
      <c r="Z53" s="53"/>
      <c r="AA53" s="53"/>
      <c r="AB53" s="53"/>
      <c r="AC53" s="53"/>
      <c r="AD53" s="53"/>
      <c r="AE53" s="53"/>
      <c r="AF53" s="53"/>
      <c r="AG53" s="53"/>
      <c r="AH53" s="53"/>
      <c r="AI53" s="53"/>
    </row>
    <row r="54" spans="1:35">
      <c r="A54" s="53"/>
      <c r="B54" s="53"/>
      <c r="C54" s="53"/>
      <c r="D54" s="53"/>
      <c r="E54" s="53"/>
      <c r="F54" s="53"/>
      <c r="G54" s="53"/>
      <c r="H54" s="53"/>
      <c r="I54" s="53"/>
      <c r="J54" s="53"/>
      <c r="K54" s="53"/>
      <c r="L54" s="53"/>
      <c r="M54" s="53"/>
      <c r="N54" s="53"/>
      <c r="O54" s="53"/>
      <c r="P54" s="35"/>
      <c r="Q54" s="53"/>
      <c r="R54" s="53"/>
      <c r="S54" s="53"/>
      <c r="T54" s="53"/>
      <c r="U54" s="53"/>
      <c r="V54" s="53"/>
      <c r="W54" s="53"/>
      <c r="X54" s="53"/>
      <c r="Y54" s="53"/>
      <c r="Z54" s="53"/>
      <c r="AA54" s="53"/>
      <c r="AB54" s="53"/>
      <c r="AC54" s="53"/>
      <c r="AD54" s="53"/>
      <c r="AE54" s="53"/>
      <c r="AF54" s="53"/>
      <c r="AG54" s="53"/>
      <c r="AH54" s="53"/>
      <c r="AI54" s="53"/>
    </row>
    <row r="55" spans="1:35">
      <c r="A55" s="53"/>
      <c r="B55" s="53"/>
      <c r="C55" s="53"/>
      <c r="D55" s="53"/>
      <c r="E55" s="53"/>
      <c r="F55" s="53"/>
      <c r="G55" s="53"/>
      <c r="H55" s="53"/>
      <c r="I55" s="53"/>
      <c r="J55" s="53"/>
      <c r="K55" s="53"/>
      <c r="L55" s="53"/>
      <c r="M55" s="53"/>
      <c r="N55" s="53"/>
      <c r="O55" s="53"/>
      <c r="P55" s="35"/>
      <c r="Q55" s="53"/>
      <c r="R55" s="53"/>
      <c r="S55" s="53"/>
      <c r="T55" s="53"/>
      <c r="U55" s="53"/>
      <c r="V55" s="53"/>
      <c r="W55" s="53"/>
      <c r="X55" s="53"/>
      <c r="Y55" s="53"/>
      <c r="Z55" s="53"/>
      <c r="AA55" s="53"/>
      <c r="AB55" s="53"/>
      <c r="AC55" s="53"/>
      <c r="AD55" s="53"/>
      <c r="AE55" s="53"/>
      <c r="AF55" s="53"/>
      <c r="AG55" s="53"/>
      <c r="AH55" s="53"/>
      <c r="AI55" s="53"/>
    </row>
    <row r="56" spans="1:35">
      <c r="A56" s="53"/>
      <c r="B56" s="53"/>
      <c r="C56" s="53"/>
      <c r="D56" s="53"/>
      <c r="E56" s="53"/>
      <c r="F56" s="53"/>
      <c r="G56" s="53"/>
      <c r="H56" s="53"/>
      <c r="I56" s="53"/>
      <c r="J56" s="53"/>
      <c r="K56" s="53"/>
      <c r="L56" s="53"/>
      <c r="M56" s="53"/>
      <c r="N56" s="53"/>
      <c r="O56" s="53"/>
      <c r="P56" s="35"/>
      <c r="Q56" s="53"/>
      <c r="R56" s="53"/>
      <c r="S56" s="53"/>
      <c r="T56" s="53"/>
      <c r="U56" s="53"/>
      <c r="V56" s="53"/>
      <c r="W56" s="53"/>
      <c r="X56" s="53"/>
      <c r="Y56" s="53"/>
      <c r="Z56" s="53"/>
      <c r="AA56" s="53"/>
      <c r="AB56" s="53"/>
      <c r="AC56" s="53"/>
      <c r="AD56" s="53"/>
      <c r="AE56" s="53"/>
      <c r="AF56" s="53"/>
      <c r="AG56" s="53"/>
      <c r="AH56" s="53"/>
      <c r="AI56" s="53"/>
    </row>
    <row r="57" spans="1:35">
      <c r="A57" s="53"/>
      <c r="B57" s="53"/>
      <c r="C57" s="53"/>
      <c r="D57" s="53"/>
      <c r="E57" s="53"/>
      <c r="F57" s="53"/>
      <c r="G57" s="53"/>
      <c r="H57" s="53"/>
      <c r="I57" s="53"/>
      <c r="J57" s="53"/>
      <c r="K57" s="53"/>
      <c r="L57" s="53"/>
      <c r="M57" s="53"/>
      <c r="N57" s="53"/>
      <c r="O57" s="53"/>
      <c r="P57" s="35"/>
      <c r="Q57" s="53"/>
      <c r="R57" s="53"/>
      <c r="S57" s="53"/>
      <c r="T57" s="53"/>
      <c r="U57" s="53"/>
      <c r="V57" s="53"/>
      <c r="W57" s="53"/>
      <c r="X57" s="53"/>
      <c r="Y57" s="53"/>
      <c r="Z57" s="53"/>
      <c r="AA57" s="53"/>
      <c r="AB57" s="53"/>
      <c r="AC57" s="53"/>
      <c r="AD57" s="53"/>
      <c r="AE57" s="53"/>
      <c r="AF57" s="53"/>
      <c r="AG57" s="53"/>
      <c r="AH57" s="53"/>
      <c r="AI57" s="53"/>
    </row>
    <row r="58" spans="1:35">
      <c r="A58" s="53"/>
      <c r="B58" s="53"/>
      <c r="C58" s="53"/>
      <c r="D58" s="53"/>
      <c r="E58" s="53"/>
      <c r="F58" s="53"/>
      <c r="G58" s="53"/>
      <c r="H58" s="53"/>
      <c r="I58" s="53"/>
      <c r="J58" s="53"/>
      <c r="K58" s="53"/>
      <c r="L58" s="53"/>
      <c r="M58" s="53"/>
      <c r="N58" s="53"/>
      <c r="O58" s="53"/>
      <c r="P58" s="35"/>
      <c r="Q58" s="53"/>
      <c r="R58" s="53"/>
      <c r="S58" s="53"/>
      <c r="T58" s="53"/>
      <c r="U58" s="53"/>
      <c r="V58" s="53"/>
      <c r="W58" s="53"/>
      <c r="X58" s="53"/>
      <c r="Y58" s="53"/>
      <c r="Z58" s="53"/>
      <c r="AA58" s="53"/>
      <c r="AB58" s="53"/>
      <c r="AC58" s="53"/>
      <c r="AD58" s="53"/>
      <c r="AE58" s="53"/>
      <c r="AF58" s="53"/>
      <c r="AG58" s="53"/>
      <c r="AH58" s="53"/>
      <c r="AI58" s="53"/>
    </row>
    <row r="59" spans="1:35">
      <c r="A59" s="53"/>
      <c r="B59" s="53"/>
      <c r="C59" s="53"/>
      <c r="D59" s="53"/>
      <c r="E59" s="53"/>
      <c r="F59" s="53"/>
      <c r="G59" s="53"/>
      <c r="H59" s="53"/>
      <c r="I59" s="53"/>
      <c r="J59" s="53"/>
      <c r="K59" s="53"/>
      <c r="L59" s="53"/>
      <c r="M59" s="53"/>
      <c r="N59" s="53"/>
      <c r="O59" s="53"/>
      <c r="P59" s="35"/>
      <c r="Q59" s="53"/>
      <c r="R59" s="53"/>
      <c r="S59" s="53"/>
      <c r="T59" s="53"/>
      <c r="U59" s="53"/>
      <c r="V59" s="53"/>
      <c r="W59" s="53"/>
      <c r="X59" s="53"/>
      <c r="Y59" s="53"/>
      <c r="Z59" s="53"/>
      <c r="AA59" s="53"/>
      <c r="AB59" s="53"/>
      <c r="AC59" s="53"/>
      <c r="AD59" s="53"/>
      <c r="AE59" s="53"/>
      <c r="AF59" s="53"/>
      <c r="AG59" s="53"/>
      <c r="AH59" s="53"/>
      <c r="AI59" s="53"/>
    </row>
    <row r="60" spans="1:35">
      <c r="A60" s="53"/>
      <c r="B60" s="53"/>
      <c r="C60" s="53"/>
      <c r="D60" s="53"/>
      <c r="E60" s="53"/>
      <c r="F60" s="53"/>
      <c r="G60" s="53"/>
      <c r="H60" s="53"/>
      <c r="I60" s="53"/>
      <c r="J60" s="53"/>
      <c r="K60" s="53"/>
      <c r="L60" s="53"/>
      <c r="M60" s="53"/>
      <c r="N60" s="53"/>
      <c r="O60" s="53"/>
      <c r="P60" s="35"/>
      <c r="Q60" s="53"/>
      <c r="R60" s="53"/>
      <c r="S60" s="53"/>
      <c r="T60" s="53"/>
      <c r="U60" s="53"/>
      <c r="V60" s="53"/>
      <c r="W60" s="53"/>
      <c r="X60" s="53"/>
      <c r="Y60" s="53"/>
      <c r="Z60" s="53"/>
      <c r="AA60" s="53"/>
      <c r="AB60" s="53"/>
      <c r="AC60" s="53"/>
      <c r="AD60" s="53"/>
      <c r="AE60" s="53"/>
      <c r="AF60" s="53"/>
      <c r="AG60" s="53"/>
      <c r="AH60" s="53"/>
      <c r="AI60" s="53"/>
    </row>
    <row r="61" spans="1:35">
      <c r="A61" s="53"/>
      <c r="B61" s="53"/>
      <c r="C61" s="53"/>
      <c r="D61" s="53"/>
      <c r="E61" s="53"/>
      <c r="F61" s="53"/>
      <c r="G61" s="53"/>
      <c r="H61" s="53"/>
      <c r="I61" s="53"/>
      <c r="J61" s="53"/>
      <c r="K61" s="53"/>
      <c r="L61" s="53"/>
      <c r="M61" s="53"/>
      <c r="N61" s="53"/>
      <c r="O61" s="53"/>
      <c r="P61" s="35"/>
      <c r="Q61" s="53"/>
      <c r="R61" s="53"/>
      <c r="S61" s="53"/>
      <c r="T61" s="53"/>
      <c r="U61" s="53"/>
      <c r="V61" s="53"/>
      <c r="W61" s="53"/>
      <c r="X61" s="53"/>
      <c r="Y61" s="53"/>
      <c r="Z61" s="53"/>
      <c r="AA61" s="53"/>
      <c r="AB61" s="53"/>
      <c r="AC61" s="53"/>
      <c r="AD61" s="53"/>
      <c r="AE61" s="53"/>
      <c r="AF61" s="53"/>
      <c r="AG61" s="53"/>
      <c r="AH61" s="53"/>
      <c r="AI61" s="53"/>
    </row>
    <row r="62" spans="1:35">
      <c r="A62" s="53"/>
      <c r="B62" s="53"/>
      <c r="C62" s="53"/>
      <c r="D62" s="53"/>
      <c r="E62" s="53"/>
      <c r="F62" s="53"/>
      <c r="G62" s="53"/>
      <c r="H62" s="53"/>
      <c r="I62" s="53"/>
      <c r="J62" s="53"/>
      <c r="K62" s="53"/>
      <c r="L62" s="53"/>
      <c r="M62" s="53"/>
      <c r="N62" s="53"/>
      <c r="O62" s="53"/>
      <c r="P62" s="35"/>
      <c r="Q62" s="53"/>
      <c r="R62" s="53"/>
      <c r="S62" s="53"/>
      <c r="T62" s="53"/>
      <c r="U62" s="53"/>
      <c r="V62" s="53"/>
      <c r="W62" s="53"/>
      <c r="X62" s="53"/>
      <c r="Y62" s="53"/>
      <c r="Z62" s="53"/>
      <c r="AA62" s="53"/>
      <c r="AB62" s="53"/>
      <c r="AC62" s="53"/>
      <c r="AD62" s="53"/>
      <c r="AE62" s="53"/>
      <c r="AF62" s="53"/>
      <c r="AG62" s="53"/>
      <c r="AH62" s="53"/>
      <c r="AI62" s="53"/>
    </row>
    <row r="63" spans="1:35">
      <c r="A63" s="53"/>
      <c r="B63" s="53"/>
      <c r="C63" s="53"/>
      <c r="D63" s="53"/>
      <c r="E63" s="53"/>
      <c r="F63" s="53"/>
      <c r="G63" s="53"/>
      <c r="H63" s="53"/>
      <c r="I63" s="53"/>
      <c r="J63" s="53"/>
      <c r="K63" s="53"/>
      <c r="L63" s="53"/>
      <c r="M63" s="53"/>
      <c r="N63" s="53"/>
      <c r="V63" s="53"/>
      <c r="W63" s="53"/>
      <c r="X63" s="53"/>
      <c r="Y63" s="53"/>
      <c r="Z63" s="53"/>
      <c r="AA63" s="53"/>
      <c r="AB63" s="53"/>
      <c r="AC63" s="53"/>
      <c r="AD63" s="53"/>
      <c r="AE63" s="53"/>
      <c r="AF63" s="53"/>
      <c r="AG63" s="53"/>
      <c r="AH63" s="53"/>
      <c r="AI63" s="53"/>
    </row>
    <row r="64" spans="1:35">
      <c r="A64" s="53"/>
      <c r="B64" s="53"/>
      <c r="C64" s="53"/>
      <c r="D64" s="53"/>
      <c r="E64" s="53"/>
      <c r="F64" s="53"/>
      <c r="G64" s="53"/>
      <c r="H64" s="53"/>
      <c r="I64" s="53"/>
      <c r="J64" s="53"/>
      <c r="K64" s="53"/>
      <c r="L64" s="53"/>
      <c r="M64" s="53"/>
      <c r="N64" s="53"/>
      <c r="V64" s="53"/>
      <c r="W64" s="53"/>
      <c r="X64" s="53"/>
      <c r="Y64" s="53"/>
      <c r="Z64" s="53"/>
      <c r="AA64" s="53"/>
      <c r="AB64" s="53"/>
      <c r="AC64" s="53"/>
      <c r="AD64" s="53"/>
      <c r="AE64" s="53"/>
      <c r="AF64" s="53"/>
      <c r="AG64" s="53"/>
      <c r="AH64" s="53"/>
      <c r="AI64" s="53"/>
    </row>
  </sheetData>
  <mergeCells count="4">
    <mergeCell ref="L31:M36"/>
    <mergeCell ref="M37:N37"/>
    <mergeCell ref="M38:N38"/>
    <mergeCell ref="M39:N39"/>
  </mergeCells>
  <conditionalFormatting sqref="P27">
    <cfRule type="dataBar" priority="4">
      <dataBar>
        <cfvo type="num" val="0"/>
        <cfvo type="formula" val="MAX($P$27:$T$43)*2"/>
        <color theme="0" tint="-0.499984740745262"/>
      </dataBar>
      <extLst>
        <ext xmlns:x14="http://schemas.microsoft.com/office/spreadsheetml/2009/9/main" uri="{B025F937-C7B1-47D3-B67F-A62EFF666E3E}">
          <x14:id>{472AB260-521E-4ED3-AC4F-627BBE349758}</x14:id>
        </ext>
      </extLst>
    </cfRule>
  </conditionalFormatting>
  <conditionalFormatting sqref="P29:T45">
    <cfRule type="dataBar" priority="5">
      <dataBar>
        <cfvo type="num" val="0"/>
        <cfvo type="formula" val="MAX($P$29:$T$45)*2"/>
        <color theme="0" tint="-0.499984740745262"/>
      </dataBar>
      <extLst>
        <ext xmlns:x14="http://schemas.microsoft.com/office/spreadsheetml/2009/9/main" uri="{B025F937-C7B1-47D3-B67F-A62EFF666E3E}">
          <x14:id>{DBDB1416-420F-434F-880D-492F86C42214}</x14:id>
        </ext>
      </extLst>
    </cfRule>
  </conditionalFormatting>
  <pageMargins left="0.7" right="0.7" top="0.75" bottom="0.75" header="0.3" footer="0.3"/>
  <pageSetup scale="26" orientation="portrait" r:id="rId1"/>
  <drawing r:id="rId2"/>
  <extLst>
    <ext xmlns:x14="http://schemas.microsoft.com/office/spreadsheetml/2009/9/main" uri="{78C0D931-6437-407d-A8EE-F0AAD7539E65}">
      <x14:conditionalFormattings>
        <x14:conditionalFormatting xmlns:xm="http://schemas.microsoft.com/office/excel/2006/main">
          <x14:cfRule type="dataBar" id="{472AB260-521E-4ED3-AC4F-627BBE349758}">
            <x14:dataBar minLength="0" maxLength="100" gradient="0">
              <x14:cfvo type="num">
                <xm:f>0</xm:f>
              </x14:cfvo>
              <x14:cfvo type="formula">
                <xm:f>MAX($P$27:$T$43)*2</xm:f>
              </x14:cfvo>
              <x14:negativeFillColor rgb="FFFF0000"/>
              <x14:axisColor rgb="FF000000"/>
            </x14:dataBar>
          </x14:cfRule>
          <xm:sqref>P27</xm:sqref>
        </x14:conditionalFormatting>
        <x14:conditionalFormatting xmlns:xm="http://schemas.microsoft.com/office/excel/2006/main">
          <x14:cfRule type="dataBar" id="{DBDB1416-420F-434F-880D-492F86C42214}">
            <x14:dataBar minLength="0" maxLength="100" gradient="0">
              <x14:cfvo type="num">
                <xm:f>0</xm:f>
              </x14:cfvo>
              <x14:cfvo type="formula">
                <xm:f>MAX($P$29:$T$45)*2</xm:f>
              </x14:cfvo>
              <x14:negativeFillColor rgb="FFFF0000"/>
              <x14:axisColor rgb="FF000000"/>
            </x14:dataBar>
          </x14:cfRule>
          <xm:sqref>P29:T45</xm:sqref>
        </x14:conditionalFormatting>
        <x14:conditionalFormatting xmlns:xm="http://schemas.microsoft.com/office/excel/2006/main">
          <x14:cfRule type="expression" priority="3" id="{CD1E1E82-E697-4B44-A760-F94C42F7BA78}">
            <xm:f>$P$25=Pivot!$A$78</xm:f>
            <x14:dxf>
              <fill>
                <patternFill>
                  <bgColor theme="8" tint="0.59996337778862885"/>
                </patternFill>
              </fill>
              <border>
                <left style="thin">
                  <color auto="1"/>
                </left>
                <right style="thin">
                  <color auto="1"/>
                </right>
                <top style="thin">
                  <color auto="1"/>
                </top>
                <bottom style="thin">
                  <color auto="1"/>
                </bottom>
                <vertical/>
                <horizontal/>
              </border>
            </x14:dxf>
          </x14:cfRule>
          <xm:sqref>P25:T26 P27</xm:sqref>
        </x14:conditionalFormatting>
        <x14:conditionalFormatting xmlns:xm="http://schemas.microsoft.com/office/excel/2006/main">
          <x14:cfRule type="expression" priority="1" id="{8A3B4D64-568C-4CCC-8174-79DCA5DFBDE4}">
            <xm:f>P$27=Pivot!$A$78</xm:f>
            <x14:dxf>
              <fill>
                <patternFill>
                  <bgColor theme="9" tint="0.79998168889431442"/>
                </patternFill>
              </fill>
              <border>
                <left style="thin">
                  <color theme="0" tint="-0.499984740745262"/>
                </left>
                <right style="thin">
                  <color theme="0" tint="-0.499984740745262"/>
                </right>
                <top style="thin">
                  <color auto="1"/>
                </top>
                <bottom style="thin">
                  <color auto="1"/>
                </bottom>
                <vertical/>
                <horizontal/>
              </border>
            </x14:dxf>
          </x14:cfRule>
          <xm:sqref>P27:T45</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133"/>
  <sheetViews>
    <sheetView zoomScale="80" zoomScaleNormal="80" workbookViewId="0">
      <selection activeCell="A11" sqref="A11"/>
    </sheetView>
  </sheetViews>
  <sheetFormatPr defaultRowHeight="14.25"/>
  <cols>
    <col min="1" max="1" width="13.875" bestFit="1" customWidth="1"/>
    <col min="2" max="2" width="10.125" bestFit="1" customWidth="1"/>
    <col min="3" max="3" width="11.125" bestFit="1" customWidth="1"/>
    <col min="4" max="4" width="14.625" bestFit="1" customWidth="1"/>
    <col min="5" max="5" width="13.875" bestFit="1" customWidth="1"/>
    <col min="6" max="6" width="10.125" bestFit="1" customWidth="1"/>
    <col min="7" max="7" width="11.375" bestFit="1" customWidth="1"/>
    <col min="8" max="8" width="12.125" customWidth="1"/>
  </cols>
  <sheetData>
    <row r="3" spans="1:5">
      <c r="A3" t="s">
        <v>1</v>
      </c>
      <c r="B3" t="s">
        <v>2</v>
      </c>
      <c r="C3" t="s">
        <v>3</v>
      </c>
      <c r="D3" t="s">
        <v>4</v>
      </c>
      <c r="E3" t="s">
        <v>5</v>
      </c>
    </row>
    <row r="4" spans="1:5">
      <c r="A4" s="20">
        <v>1000</v>
      </c>
      <c r="B4" s="21">
        <v>96623</v>
      </c>
      <c r="C4" s="20">
        <v>89850</v>
      </c>
      <c r="D4" s="22">
        <v>3.8854000000000033</v>
      </c>
      <c r="E4" s="20">
        <v>307</v>
      </c>
    </row>
    <row r="10" spans="1:5">
      <c r="A10" t="s">
        <v>1</v>
      </c>
      <c r="B10" t="s">
        <v>2</v>
      </c>
      <c r="C10" t="s">
        <v>3</v>
      </c>
      <c r="D10" t="s">
        <v>4</v>
      </c>
      <c r="E10" t="s">
        <v>5</v>
      </c>
    </row>
    <row r="11" spans="1:5">
      <c r="A11" s="20">
        <v>218</v>
      </c>
      <c r="B11" s="21">
        <v>20581</v>
      </c>
      <c r="C11" s="20">
        <v>19300</v>
      </c>
      <c r="D11" s="22">
        <v>3.8706422018348627</v>
      </c>
      <c r="E11" s="20">
        <v>74</v>
      </c>
    </row>
    <row r="18" spans="1:6">
      <c r="A18" s="20"/>
      <c r="B18" s="21"/>
      <c r="C18" s="20"/>
      <c r="D18" s="22"/>
      <c r="E18" s="20"/>
    </row>
    <row r="24" spans="1:6">
      <c r="A24" s="24" t="s">
        <v>6</v>
      </c>
      <c r="B24" t="s">
        <v>1</v>
      </c>
      <c r="C24" t="s">
        <v>7</v>
      </c>
      <c r="E24" s="24" t="s">
        <v>6</v>
      </c>
      <c r="F24" t="s">
        <v>1</v>
      </c>
    </row>
    <row r="25" spans="1:6">
      <c r="A25" s="25" t="s">
        <v>8</v>
      </c>
      <c r="B25" s="20">
        <v>19</v>
      </c>
      <c r="C25" s="20">
        <v>19</v>
      </c>
      <c r="E25" s="25" t="s">
        <v>11</v>
      </c>
      <c r="F25" s="20">
        <v>24</v>
      </c>
    </row>
    <row r="26" spans="1:6">
      <c r="A26" s="25" t="s">
        <v>10</v>
      </c>
      <c r="B26" s="20">
        <v>10</v>
      </c>
      <c r="C26" s="20">
        <v>10</v>
      </c>
      <c r="E26" s="25" t="s">
        <v>13</v>
      </c>
      <c r="F26" s="20">
        <v>44</v>
      </c>
    </row>
    <row r="27" spans="1:6">
      <c r="A27" s="25" t="s">
        <v>12</v>
      </c>
      <c r="B27" s="20">
        <v>40</v>
      </c>
      <c r="C27" s="20">
        <v>40</v>
      </c>
      <c r="E27" s="25" t="s">
        <v>15</v>
      </c>
      <c r="F27" s="20">
        <v>36</v>
      </c>
    </row>
    <row r="28" spans="1:6">
      <c r="A28" s="25" t="s">
        <v>14</v>
      </c>
      <c r="B28" s="20">
        <v>40</v>
      </c>
      <c r="C28" s="20">
        <v>40</v>
      </c>
      <c r="E28" s="25" t="s">
        <v>17</v>
      </c>
      <c r="F28" s="20">
        <v>33</v>
      </c>
    </row>
    <row r="29" spans="1:6">
      <c r="A29" s="25" t="s">
        <v>16</v>
      </c>
      <c r="B29" s="20">
        <v>13</v>
      </c>
      <c r="C29" s="20">
        <v>13</v>
      </c>
      <c r="E29" s="25" t="s">
        <v>19</v>
      </c>
      <c r="F29" s="20">
        <v>29</v>
      </c>
    </row>
    <row r="30" spans="1:6">
      <c r="A30" s="25" t="s">
        <v>18</v>
      </c>
      <c r="B30" s="20">
        <v>12</v>
      </c>
      <c r="C30" s="20">
        <v>12</v>
      </c>
      <c r="E30" s="25" t="s">
        <v>21</v>
      </c>
      <c r="F30" s="20">
        <v>24</v>
      </c>
    </row>
    <row r="31" spans="1:6">
      <c r="A31" s="25" t="s">
        <v>20</v>
      </c>
      <c r="B31" s="20">
        <v>9</v>
      </c>
      <c r="C31" s="20">
        <v>9</v>
      </c>
      <c r="E31" s="25" t="s">
        <v>9</v>
      </c>
      <c r="F31" s="20">
        <v>28</v>
      </c>
    </row>
    <row r="32" spans="1:6">
      <c r="A32" s="25" t="s">
        <v>22</v>
      </c>
      <c r="B32" s="20">
        <v>13</v>
      </c>
      <c r="C32" s="20">
        <v>13</v>
      </c>
      <c r="E32" s="25" t="s">
        <v>23</v>
      </c>
      <c r="F32" s="20">
        <v>218</v>
      </c>
    </row>
    <row r="33" spans="1:9">
      <c r="A33" s="25" t="s">
        <v>24</v>
      </c>
      <c r="B33" s="20">
        <v>18</v>
      </c>
      <c r="C33" s="20">
        <v>18</v>
      </c>
    </row>
    <row r="34" spans="1:9">
      <c r="A34" s="25" t="s">
        <v>25</v>
      </c>
      <c r="B34" s="20">
        <v>21</v>
      </c>
      <c r="C34" s="20">
        <v>21</v>
      </c>
    </row>
    <row r="35" spans="1:9">
      <c r="A35" s="25" t="s">
        <v>26</v>
      </c>
      <c r="B35" s="20">
        <v>14</v>
      </c>
      <c r="C35" s="20">
        <v>14</v>
      </c>
    </row>
    <row r="36" spans="1:9">
      <c r="A36" s="25" t="s">
        <v>27</v>
      </c>
      <c r="B36" s="20">
        <v>9</v>
      </c>
      <c r="C36" s="20">
        <v>9</v>
      </c>
    </row>
    <row r="37" spans="1:9">
      <c r="A37" s="25" t="s">
        <v>23</v>
      </c>
      <c r="B37" s="20">
        <v>218</v>
      </c>
      <c r="C37" s="20">
        <v>218</v>
      </c>
    </row>
    <row r="48" spans="1:9">
      <c r="E48" t="s">
        <v>28</v>
      </c>
      <c r="H48" t="s">
        <v>29</v>
      </c>
      <c r="I48" t="str">
        <f>A78</f>
        <v>R02</v>
      </c>
    </row>
    <row r="50" spans="1:9">
      <c r="A50" s="24" t="s">
        <v>6</v>
      </c>
      <c r="B50" t="s">
        <v>30</v>
      </c>
      <c r="C50" t="s">
        <v>31</v>
      </c>
      <c r="E50" t="s">
        <v>32</v>
      </c>
      <c r="F50" t="s">
        <v>33</v>
      </c>
      <c r="G50" t="s">
        <v>34</v>
      </c>
      <c r="H50" t="s">
        <v>35</v>
      </c>
      <c r="I50" t="s">
        <v>36</v>
      </c>
    </row>
    <row r="51" spans="1:9">
      <c r="A51" s="25" t="s">
        <v>37</v>
      </c>
      <c r="B51" s="26">
        <v>189</v>
      </c>
      <c r="C51" s="26">
        <v>18415</v>
      </c>
      <c r="E51" t="str">
        <f t="shared" ref="E51:G55" si="0">A51</f>
        <v>R01</v>
      </c>
      <c r="F51">
        <f t="shared" si="0"/>
        <v>189</v>
      </c>
      <c r="G51" s="27">
        <f t="shared" si="0"/>
        <v>18415</v>
      </c>
      <c r="H51" t="e">
        <f>IF(E51=$I$48,F51,NA())</f>
        <v>#N/A</v>
      </c>
      <c r="I51" t="e">
        <f>IF(E51=$I$48,G51,NA())</f>
        <v>#N/A</v>
      </c>
    </row>
    <row r="52" spans="1:9">
      <c r="A52" s="25" t="s">
        <v>38</v>
      </c>
      <c r="B52" s="26">
        <v>218</v>
      </c>
      <c r="C52" s="26">
        <v>20581</v>
      </c>
      <c r="E52" t="str">
        <f t="shared" si="0"/>
        <v>R02</v>
      </c>
      <c r="F52">
        <f t="shared" si="0"/>
        <v>218</v>
      </c>
      <c r="G52" s="27">
        <f t="shared" si="0"/>
        <v>20581</v>
      </c>
      <c r="H52">
        <f>IF(E52=$I$48,F52,NA())</f>
        <v>218</v>
      </c>
      <c r="I52">
        <f>IF(E52=$I$48,G52,NA())</f>
        <v>20581</v>
      </c>
    </row>
    <row r="53" spans="1:9">
      <c r="A53" s="25" t="s">
        <v>39</v>
      </c>
      <c r="B53" s="26">
        <v>207</v>
      </c>
      <c r="C53" s="26">
        <v>20872</v>
      </c>
      <c r="E53" t="str">
        <f t="shared" si="0"/>
        <v>R03</v>
      </c>
      <c r="F53">
        <f t="shared" si="0"/>
        <v>207</v>
      </c>
      <c r="G53" s="27">
        <f t="shared" si="0"/>
        <v>20872</v>
      </c>
      <c r="H53" t="e">
        <f>IF(E53=$I$48,F53,NA())</f>
        <v>#N/A</v>
      </c>
      <c r="I53" t="e">
        <f>IF(E53=$I$48,G53,NA())</f>
        <v>#N/A</v>
      </c>
    </row>
    <row r="54" spans="1:9">
      <c r="A54" s="25" t="s">
        <v>40</v>
      </c>
      <c r="B54" s="26">
        <v>186</v>
      </c>
      <c r="C54" s="26">
        <v>16651</v>
      </c>
      <c r="E54" t="str">
        <f t="shared" si="0"/>
        <v>R04</v>
      </c>
      <c r="F54">
        <f t="shared" si="0"/>
        <v>186</v>
      </c>
      <c r="G54" s="27">
        <f t="shared" si="0"/>
        <v>16651</v>
      </c>
      <c r="H54" t="e">
        <f>IF(E54=$I$48,F54,NA())</f>
        <v>#N/A</v>
      </c>
      <c r="I54" t="e">
        <f>IF(E54=$I$48,G54,NA())</f>
        <v>#N/A</v>
      </c>
    </row>
    <row r="55" spans="1:9">
      <c r="A55" s="25" t="s">
        <v>41</v>
      </c>
      <c r="B55" s="26">
        <v>200</v>
      </c>
      <c r="C55" s="26">
        <v>20104</v>
      </c>
      <c r="E55" t="str">
        <f t="shared" si="0"/>
        <v>R05</v>
      </c>
      <c r="F55">
        <f t="shared" si="0"/>
        <v>200</v>
      </c>
      <c r="G55" s="27">
        <f t="shared" si="0"/>
        <v>20104</v>
      </c>
      <c r="H55" t="e">
        <f>IF(E55=$I$48,F55,NA())</f>
        <v>#N/A</v>
      </c>
      <c r="I55" t="e">
        <f>IF(E55=$I$48,G55,NA())</f>
        <v>#N/A</v>
      </c>
    </row>
    <row r="56" spans="1:9">
      <c r="A56" s="25" t="s">
        <v>23</v>
      </c>
      <c r="B56" s="26">
        <v>1000</v>
      </c>
      <c r="C56" s="26">
        <v>96623</v>
      </c>
    </row>
    <row r="57" spans="1:9">
      <c r="I57" t="s">
        <v>42</v>
      </c>
    </row>
    <row r="75" spans="1:6" ht="15">
      <c r="E75" s="14" t="s">
        <v>43</v>
      </c>
    </row>
    <row r="77" spans="1:6">
      <c r="A77" s="24" t="s">
        <v>6</v>
      </c>
      <c r="E77" t="s">
        <v>44</v>
      </c>
      <c r="F77" s="1">
        <f>A11/A4</f>
        <v>0.218</v>
      </c>
    </row>
    <row r="78" spans="1:6">
      <c r="A78" s="28" t="s">
        <v>38</v>
      </c>
      <c r="E78" t="s">
        <v>33</v>
      </c>
      <c r="F78" t="e">
        <f ca="1">_xlfn.XLOOKUP(A78,E50:E56,F50:F56)</f>
        <v>#NAME?</v>
      </c>
    </row>
    <row r="79" spans="1:6">
      <c r="E79" t="s">
        <v>45</v>
      </c>
      <c r="F79" t="e">
        <f ca="1">_xlfn.XLOOKUP(A78,E50:E55,G50:G55)</f>
        <v>#NAME?</v>
      </c>
    </row>
    <row r="81" spans="1:6">
      <c r="E81" t="s">
        <v>46</v>
      </c>
      <c r="F81" t="e">
        <f ca="1">_xlfn.RANK.AVG(F78,F51:F55)</f>
        <v>#NAME?</v>
      </c>
    </row>
    <row r="82" spans="1:6">
      <c r="E82" t="s">
        <v>47</v>
      </c>
      <c r="F82" t="e">
        <f ca="1">_xlfn.RANK.AVG(F79,G51:G55)</f>
        <v>#NAME?</v>
      </c>
    </row>
    <row r="84" spans="1:6" ht="28.5">
      <c r="E84" t="s">
        <v>48</v>
      </c>
      <c r="F84" s="52" t="str">
        <f>"% of calls:"&amp;TEXT(F77,"0%")</f>
        <v>% of calls:22%</v>
      </c>
    </row>
    <row r="85" spans="1:6" ht="29.25" customHeight="1">
      <c r="F85" s="52" t="e">
        <f ca="1">IF(COUNTA(A78:A80)&gt;1,"","Call rank:"&amp;F81)</f>
        <v>#NAME?</v>
      </c>
    </row>
    <row r="86" spans="1:6" ht="27" customHeight="1">
      <c r="F86" s="52" t="e">
        <f ca="1">IF(COUNTA(A78:A80)&gt;1,"","Amount rank:"&amp;F82)</f>
        <v>#NAME?</v>
      </c>
    </row>
    <row r="87" spans="1:6" ht="31.5" customHeight="1">
      <c r="E87" t="s">
        <v>49</v>
      </c>
      <c r="F87" t="e">
        <f ca="1">_xlfn.XLOOKUP(A78,'Assets '!E3:E7,'Assets '!F3:F7)</f>
        <v>#NAME?</v>
      </c>
    </row>
    <row r="91" spans="1:6">
      <c r="A91" s="24" t="s">
        <v>1</v>
      </c>
      <c r="B91" s="24" t="s">
        <v>50</v>
      </c>
    </row>
    <row r="92" spans="1:6">
      <c r="A92" s="24" t="s">
        <v>6</v>
      </c>
      <c r="B92" t="s">
        <v>51</v>
      </c>
      <c r="C92" t="s">
        <v>52</v>
      </c>
      <c r="D92" t="s">
        <v>23</v>
      </c>
    </row>
    <row r="93" spans="1:6">
      <c r="A93" s="25" t="s">
        <v>53</v>
      </c>
      <c r="B93" s="20">
        <v>144</v>
      </c>
      <c r="C93" s="20">
        <v>132</v>
      </c>
      <c r="D93" s="20">
        <v>276</v>
      </c>
    </row>
    <row r="94" spans="1:6">
      <c r="A94" s="25" t="s">
        <v>54</v>
      </c>
      <c r="B94" s="20">
        <v>326</v>
      </c>
      <c r="C94" s="20">
        <v>63</v>
      </c>
      <c r="D94" s="20">
        <v>389</v>
      </c>
    </row>
    <row r="95" spans="1:6">
      <c r="A95" s="25" t="s">
        <v>55</v>
      </c>
      <c r="B95" s="20">
        <v>129</v>
      </c>
      <c r="C95" s="20">
        <v>206</v>
      </c>
      <c r="D95" s="20">
        <v>335</v>
      </c>
    </row>
    <row r="96" spans="1:6">
      <c r="A96" s="25" t="s">
        <v>23</v>
      </c>
      <c r="B96" s="20">
        <v>599</v>
      </c>
      <c r="C96" s="20">
        <v>401</v>
      </c>
      <c r="D96" s="20">
        <v>1000</v>
      </c>
    </row>
    <row r="101" spans="1:2">
      <c r="A101" s="24" t="s">
        <v>6</v>
      </c>
      <c r="B101" t="s">
        <v>1</v>
      </c>
    </row>
    <row r="102" spans="1:2">
      <c r="A102" s="25">
        <v>1</v>
      </c>
      <c r="B102" s="20">
        <v>3</v>
      </c>
    </row>
    <row r="103" spans="1:2">
      <c r="A103" s="25">
        <v>2</v>
      </c>
      <c r="B103" s="20">
        <v>19</v>
      </c>
    </row>
    <row r="104" spans="1:2">
      <c r="A104" s="25">
        <v>3</v>
      </c>
      <c r="B104" s="20">
        <v>35</v>
      </c>
    </row>
    <row r="105" spans="1:2">
      <c r="A105" s="25">
        <v>4</v>
      </c>
      <c r="B105" s="20">
        <v>87</v>
      </c>
    </row>
    <row r="106" spans="1:2">
      <c r="A106" s="25">
        <v>5</v>
      </c>
      <c r="B106" s="20">
        <v>74</v>
      </c>
    </row>
    <row r="107" spans="1:2">
      <c r="A107" s="25" t="s">
        <v>23</v>
      </c>
      <c r="B107" s="20">
        <v>218</v>
      </c>
    </row>
    <row r="114" spans="1:7">
      <c r="A114" s="24" t="s">
        <v>2</v>
      </c>
      <c r="B114" s="24" t="s">
        <v>50</v>
      </c>
    </row>
    <row r="115" spans="1:7">
      <c r="A115" s="24" t="s">
        <v>6</v>
      </c>
      <c r="B115" t="s">
        <v>37</v>
      </c>
      <c r="C115" t="s">
        <v>38</v>
      </c>
      <c r="D115" t="s">
        <v>39</v>
      </c>
      <c r="E115" t="s">
        <v>40</v>
      </c>
      <c r="F115" t="s">
        <v>41</v>
      </c>
      <c r="G115" t="s">
        <v>23</v>
      </c>
    </row>
    <row r="116" spans="1:7">
      <c r="A116" s="25" t="s">
        <v>53</v>
      </c>
      <c r="B116" s="21">
        <v>5483</v>
      </c>
      <c r="C116" s="21">
        <v>6014</v>
      </c>
      <c r="D116" s="21">
        <v>4970</v>
      </c>
      <c r="E116" s="21">
        <v>3495</v>
      </c>
      <c r="F116" s="21">
        <v>6099</v>
      </c>
      <c r="G116" s="21">
        <v>26061</v>
      </c>
    </row>
    <row r="117" spans="1:7">
      <c r="A117" s="29" t="s">
        <v>56</v>
      </c>
      <c r="B117" s="21">
        <v>891</v>
      </c>
      <c r="C117" s="21">
        <v>1332</v>
      </c>
      <c r="D117" s="21">
        <v>1282</v>
      </c>
      <c r="E117" s="21">
        <v>739</v>
      </c>
      <c r="F117" s="21">
        <v>560</v>
      </c>
      <c r="G117" s="21">
        <v>4804</v>
      </c>
    </row>
    <row r="118" spans="1:7">
      <c r="A118" s="29" t="s">
        <v>57</v>
      </c>
      <c r="B118" s="21">
        <v>1991</v>
      </c>
      <c r="C118" s="21">
        <v>1886</v>
      </c>
      <c r="D118" s="21">
        <v>1206</v>
      </c>
      <c r="E118" s="21">
        <v>884</v>
      </c>
      <c r="F118" s="21">
        <v>1722</v>
      </c>
      <c r="G118" s="21">
        <v>7689</v>
      </c>
    </row>
    <row r="119" spans="1:7">
      <c r="A119" s="29" t="s">
        <v>58</v>
      </c>
      <c r="B119" s="21">
        <v>1163</v>
      </c>
      <c r="C119" s="21">
        <v>1180</v>
      </c>
      <c r="D119" s="21">
        <v>1616</v>
      </c>
      <c r="E119" s="21">
        <v>1043</v>
      </c>
      <c r="F119" s="21">
        <v>1747</v>
      </c>
      <c r="G119" s="21">
        <v>6749</v>
      </c>
    </row>
    <row r="120" spans="1:7">
      <c r="A120" s="29" t="s">
        <v>59</v>
      </c>
      <c r="B120" s="21">
        <v>1438</v>
      </c>
      <c r="C120" s="21">
        <v>1616</v>
      </c>
      <c r="D120" s="21">
        <v>866</v>
      </c>
      <c r="E120" s="21">
        <v>829</v>
      </c>
      <c r="F120" s="21">
        <v>2070</v>
      </c>
      <c r="G120" s="21">
        <v>6819</v>
      </c>
    </row>
    <row r="121" spans="1:7">
      <c r="A121" s="25" t="s">
        <v>54</v>
      </c>
      <c r="B121" s="21">
        <v>7024</v>
      </c>
      <c r="C121" s="21">
        <v>7030</v>
      </c>
      <c r="D121" s="21">
        <v>8482</v>
      </c>
      <c r="E121" s="21">
        <v>7379</v>
      </c>
      <c r="F121" s="21">
        <v>7934</v>
      </c>
      <c r="G121" s="21">
        <v>37849</v>
      </c>
    </row>
    <row r="122" spans="1:7">
      <c r="A122" s="29" t="s">
        <v>60</v>
      </c>
      <c r="B122" s="21">
        <v>1233</v>
      </c>
      <c r="C122" s="21">
        <v>223</v>
      </c>
      <c r="D122" s="21">
        <v>1680</v>
      </c>
      <c r="E122" s="21">
        <v>990</v>
      </c>
      <c r="F122" s="21">
        <v>1508</v>
      </c>
      <c r="G122" s="21">
        <v>5634</v>
      </c>
    </row>
    <row r="123" spans="1:7">
      <c r="A123" s="29" t="s">
        <v>61</v>
      </c>
      <c r="B123" s="21">
        <v>1598</v>
      </c>
      <c r="C123" s="21">
        <v>1907</v>
      </c>
      <c r="D123" s="21">
        <v>869</v>
      </c>
      <c r="E123" s="21">
        <v>1426</v>
      </c>
      <c r="F123" s="21">
        <v>1416</v>
      </c>
      <c r="G123" s="21">
        <v>7216</v>
      </c>
    </row>
    <row r="124" spans="1:7">
      <c r="A124" s="29" t="s">
        <v>62</v>
      </c>
      <c r="B124" s="21">
        <v>900</v>
      </c>
      <c r="C124" s="21">
        <v>1016</v>
      </c>
      <c r="D124" s="21">
        <v>960</v>
      </c>
      <c r="E124" s="21">
        <v>940</v>
      </c>
      <c r="F124" s="21">
        <v>1193</v>
      </c>
      <c r="G124" s="21">
        <v>5009</v>
      </c>
    </row>
    <row r="125" spans="1:7">
      <c r="A125" s="29" t="s">
        <v>63</v>
      </c>
      <c r="B125" s="21">
        <v>900</v>
      </c>
      <c r="C125" s="21">
        <v>1470</v>
      </c>
      <c r="D125" s="21">
        <v>1617</v>
      </c>
      <c r="E125" s="21">
        <v>1314</v>
      </c>
      <c r="F125" s="21">
        <v>941</v>
      </c>
      <c r="G125" s="21">
        <v>6242</v>
      </c>
    </row>
    <row r="126" spans="1:7">
      <c r="A126" s="29" t="s">
        <v>64</v>
      </c>
      <c r="B126" s="21">
        <v>1255</v>
      </c>
      <c r="C126" s="21">
        <v>516</v>
      </c>
      <c r="D126" s="21">
        <v>1874</v>
      </c>
      <c r="E126" s="21">
        <v>1863</v>
      </c>
      <c r="F126" s="21">
        <v>1722</v>
      </c>
      <c r="G126" s="21">
        <v>7230</v>
      </c>
    </row>
    <row r="127" spans="1:7">
      <c r="A127" s="29" t="s">
        <v>65</v>
      </c>
      <c r="B127" s="21">
        <v>1138</v>
      </c>
      <c r="C127" s="21">
        <v>1898</v>
      </c>
      <c r="D127" s="21">
        <v>1482</v>
      </c>
      <c r="E127" s="21">
        <v>846</v>
      </c>
      <c r="F127" s="21">
        <v>1154</v>
      </c>
      <c r="G127" s="21">
        <v>6518</v>
      </c>
    </row>
    <row r="128" spans="1:7">
      <c r="A128" s="25" t="s">
        <v>55</v>
      </c>
      <c r="B128" s="21">
        <v>5908</v>
      </c>
      <c r="C128" s="21">
        <v>7537</v>
      </c>
      <c r="D128" s="21">
        <v>7420</v>
      </c>
      <c r="E128" s="21">
        <v>5777</v>
      </c>
      <c r="F128" s="21">
        <v>6071</v>
      </c>
      <c r="G128" s="21">
        <v>32713</v>
      </c>
    </row>
    <row r="129" spans="1:7">
      <c r="A129" s="29" t="s">
        <v>66</v>
      </c>
      <c r="B129" s="21">
        <v>1655</v>
      </c>
      <c r="C129" s="21">
        <v>805</v>
      </c>
      <c r="D129" s="21">
        <v>2263</v>
      </c>
      <c r="E129" s="21">
        <v>987</v>
      </c>
      <c r="F129" s="21">
        <v>1075</v>
      </c>
      <c r="G129" s="21">
        <v>6785</v>
      </c>
    </row>
    <row r="130" spans="1:7">
      <c r="A130" s="29" t="s">
        <v>67</v>
      </c>
      <c r="B130" s="21">
        <v>1104</v>
      </c>
      <c r="C130" s="21">
        <v>2280</v>
      </c>
      <c r="D130" s="21">
        <v>1445</v>
      </c>
      <c r="E130" s="21">
        <v>1722</v>
      </c>
      <c r="F130" s="21">
        <v>1196</v>
      </c>
      <c r="G130" s="21">
        <v>7747</v>
      </c>
    </row>
    <row r="131" spans="1:7">
      <c r="A131" s="29" t="s">
        <v>68</v>
      </c>
      <c r="B131" s="21">
        <v>372</v>
      </c>
      <c r="C131" s="21">
        <v>1818</v>
      </c>
      <c r="D131" s="21">
        <v>1346</v>
      </c>
      <c r="E131" s="21">
        <v>1156</v>
      </c>
      <c r="F131" s="21">
        <v>1484</v>
      </c>
      <c r="G131" s="21">
        <v>6176</v>
      </c>
    </row>
    <row r="132" spans="1:7">
      <c r="A132" s="29" t="s">
        <v>69</v>
      </c>
      <c r="B132" s="21">
        <v>1415</v>
      </c>
      <c r="C132" s="21">
        <v>1271</v>
      </c>
      <c r="D132" s="21">
        <v>1214</v>
      </c>
      <c r="E132" s="21">
        <v>1135</v>
      </c>
      <c r="F132" s="21">
        <v>1566</v>
      </c>
      <c r="G132" s="21">
        <v>6601</v>
      </c>
    </row>
    <row r="133" spans="1:7">
      <c r="A133" s="29" t="s">
        <v>70</v>
      </c>
      <c r="B133" s="21">
        <v>1362</v>
      </c>
      <c r="C133" s="21">
        <v>1363</v>
      </c>
      <c r="D133" s="21">
        <v>1152</v>
      </c>
      <c r="E133" s="21">
        <v>777</v>
      </c>
      <c r="F133" s="21">
        <v>750</v>
      </c>
      <c r="G133" s="21">
        <v>5404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1003"/>
  <sheetViews>
    <sheetView topLeftCell="B4" zoomScale="115" zoomScaleNormal="115" workbookViewId="0">
      <selection activeCell="C10" sqref="C10"/>
    </sheetView>
  </sheetViews>
  <sheetFormatPr defaultRowHeight="14.25"/>
  <cols>
    <col min="1" max="1" width="3.25" customWidth="1"/>
    <col min="2" max="2" width="14.625" customWidth="1"/>
    <col min="3" max="3" width="12.875" customWidth="1"/>
    <col min="4" max="4" width="16.625" customWidth="1"/>
    <col min="5" max="5" width="15" customWidth="1"/>
    <col min="6" max="6" width="16.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c r="B1" s="5" t="s">
        <v>71</v>
      </c>
    </row>
    <row r="2" spans="2:20">
      <c r="R2" s="1"/>
    </row>
    <row r="3" spans="2:20" ht="15">
      <c r="B3" s="14" t="s">
        <v>72</v>
      </c>
      <c r="C3" s="14" t="s">
        <v>73</v>
      </c>
      <c r="D3" s="15" t="s">
        <v>74</v>
      </c>
      <c r="E3" s="16" t="s">
        <v>75</v>
      </c>
      <c r="F3" s="16" t="s">
        <v>76</v>
      </c>
      <c r="G3" s="14" t="s">
        <v>77</v>
      </c>
      <c r="H3" s="14" t="s">
        <v>78</v>
      </c>
      <c r="I3" t="s">
        <v>79</v>
      </c>
      <c r="J3" t="s">
        <v>80</v>
      </c>
      <c r="K3" t="s">
        <v>81</v>
      </c>
      <c r="L3" t="s">
        <v>82</v>
      </c>
      <c r="Q3" s="8" t="s">
        <v>73</v>
      </c>
      <c r="R3" s="9" t="s">
        <v>83</v>
      </c>
      <c r="S3" s="9" t="s">
        <v>84</v>
      </c>
      <c r="T3" s="10" t="s">
        <v>85</v>
      </c>
    </row>
    <row r="4" spans="2:20">
      <c r="B4" t="s">
        <v>86</v>
      </c>
      <c r="C4" t="s">
        <v>56</v>
      </c>
      <c r="D4">
        <v>116</v>
      </c>
      <c r="E4" s="17" t="s">
        <v>41</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66</v>
      </c>
      <c r="R4" s="3" t="s">
        <v>52</v>
      </c>
      <c r="S4" s="2">
        <v>41</v>
      </c>
      <c r="T4" s="7" t="s">
        <v>55</v>
      </c>
    </row>
    <row r="5" spans="2:20">
      <c r="B5" t="s">
        <v>87</v>
      </c>
      <c r="C5" t="s">
        <v>57</v>
      </c>
      <c r="D5">
        <v>119</v>
      </c>
      <c r="E5" s="17" t="s">
        <v>41</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60</v>
      </c>
      <c r="R5" s="3" t="s">
        <v>52</v>
      </c>
      <c r="S5" s="2">
        <v>31</v>
      </c>
      <c r="T5" s="7" t="s">
        <v>54</v>
      </c>
    </row>
    <row r="6" spans="2:20">
      <c r="B6" t="s">
        <v>88</v>
      </c>
      <c r="C6" t="s">
        <v>67</v>
      </c>
      <c r="D6">
        <v>68</v>
      </c>
      <c r="E6" s="17" t="s">
        <v>38</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56</v>
      </c>
      <c r="R6" s="3" t="s">
        <v>52</v>
      </c>
      <c r="S6" s="2">
        <v>26</v>
      </c>
      <c r="T6" s="7" t="s">
        <v>53</v>
      </c>
    </row>
    <row r="7" spans="2:20">
      <c r="B7" t="s">
        <v>89</v>
      </c>
      <c r="C7" t="s">
        <v>70</v>
      </c>
      <c r="D7">
        <v>119</v>
      </c>
      <c r="E7" s="17" t="s">
        <v>38</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57</v>
      </c>
      <c r="R7" s="3" t="s">
        <v>52</v>
      </c>
      <c r="S7" s="2">
        <v>36</v>
      </c>
      <c r="T7" s="7" t="s">
        <v>53</v>
      </c>
    </row>
    <row r="8" spans="2:20">
      <c r="B8" t="s">
        <v>90</v>
      </c>
      <c r="C8" t="s">
        <v>58</v>
      </c>
      <c r="D8">
        <v>128</v>
      </c>
      <c r="E8" s="17" t="s">
        <v>37</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67</v>
      </c>
      <c r="R8" s="3" t="s">
        <v>52</v>
      </c>
      <c r="S8" s="2">
        <v>37</v>
      </c>
      <c r="T8" s="7" t="s">
        <v>55</v>
      </c>
    </row>
    <row r="9" spans="2:20">
      <c r="B9" t="s">
        <v>91</v>
      </c>
      <c r="C9" t="s">
        <v>58</v>
      </c>
      <c r="D9">
        <v>49</v>
      </c>
      <c r="E9" s="17" t="s">
        <v>38</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68</v>
      </c>
      <c r="R9" s="3" t="s">
        <v>52</v>
      </c>
      <c r="S9" s="2">
        <v>23</v>
      </c>
      <c r="T9" s="7" t="s">
        <v>55</v>
      </c>
    </row>
    <row r="10" spans="2:20">
      <c r="B10" t="s">
        <v>92</v>
      </c>
      <c r="C10" t="s">
        <v>61</v>
      </c>
      <c r="D10">
        <v>84</v>
      </c>
      <c r="E10" s="17" t="s">
        <v>41</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61</v>
      </c>
      <c r="R10" s="3" t="s">
        <v>51</v>
      </c>
      <c r="S10" s="2">
        <v>22</v>
      </c>
      <c r="T10" s="7" t="s">
        <v>54</v>
      </c>
    </row>
    <row r="11" spans="2:20">
      <c r="B11" t="s">
        <v>93</v>
      </c>
      <c r="C11" t="s">
        <v>56</v>
      </c>
      <c r="D11">
        <v>103</v>
      </c>
      <c r="E11" s="17" t="s">
        <v>40</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62</v>
      </c>
      <c r="R11" s="3" t="s">
        <v>51</v>
      </c>
      <c r="S11" s="2">
        <v>42</v>
      </c>
      <c r="T11" s="7" t="s">
        <v>54</v>
      </c>
    </row>
    <row r="12" spans="2:20">
      <c r="B12" t="s">
        <v>94</v>
      </c>
      <c r="C12" t="s">
        <v>67</v>
      </c>
      <c r="D12">
        <v>31</v>
      </c>
      <c r="E12" s="17" t="s">
        <v>38</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69</v>
      </c>
      <c r="R12" s="3" t="s">
        <v>51</v>
      </c>
      <c r="S12" s="2">
        <v>25</v>
      </c>
      <c r="T12" s="7" t="s">
        <v>55</v>
      </c>
    </row>
    <row r="13" spans="2:20">
      <c r="B13" t="s">
        <v>95</v>
      </c>
      <c r="C13" t="s">
        <v>63</v>
      </c>
      <c r="D13">
        <v>44</v>
      </c>
      <c r="E13" s="17" t="s">
        <v>39</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63</v>
      </c>
      <c r="R13" s="3" t="s">
        <v>51</v>
      </c>
      <c r="S13" s="2">
        <v>30</v>
      </c>
      <c r="T13" s="7" t="s">
        <v>54</v>
      </c>
    </row>
    <row r="14" spans="2:20">
      <c r="B14" t="s">
        <v>96</v>
      </c>
      <c r="C14" t="s">
        <v>58</v>
      </c>
      <c r="D14">
        <v>102</v>
      </c>
      <c r="E14" s="17" t="s">
        <v>38</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58</v>
      </c>
      <c r="R14" s="3" t="s">
        <v>51</v>
      </c>
      <c r="S14" s="2">
        <v>30</v>
      </c>
      <c r="T14" s="7" t="s">
        <v>53</v>
      </c>
    </row>
    <row r="15" spans="2:20">
      <c r="B15" t="s">
        <v>97</v>
      </c>
      <c r="C15" t="s">
        <v>64</v>
      </c>
      <c r="D15">
        <v>135</v>
      </c>
      <c r="E15" s="17" t="s">
        <v>41</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59</v>
      </c>
      <c r="R15" s="3" t="s">
        <v>51</v>
      </c>
      <c r="S15" s="2">
        <v>28</v>
      </c>
      <c r="T15" s="7" t="s">
        <v>53</v>
      </c>
    </row>
    <row r="16" spans="2:20">
      <c r="B16" t="s">
        <v>98</v>
      </c>
      <c r="C16" t="s">
        <v>60</v>
      </c>
      <c r="D16">
        <v>98</v>
      </c>
      <c r="E16" s="17" t="s">
        <v>38</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64</v>
      </c>
      <c r="R16" s="3" t="s">
        <v>51</v>
      </c>
      <c r="S16" s="2">
        <v>37</v>
      </c>
      <c r="T16" s="7" t="s">
        <v>54</v>
      </c>
    </row>
    <row r="17" spans="2:20">
      <c r="B17" t="s">
        <v>99</v>
      </c>
      <c r="C17" t="s">
        <v>63</v>
      </c>
      <c r="D17">
        <v>139</v>
      </c>
      <c r="E17" s="17" t="s">
        <v>38</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70</v>
      </c>
      <c r="R17" s="3" t="s">
        <v>51</v>
      </c>
      <c r="S17" s="2">
        <v>38</v>
      </c>
      <c r="T17" s="7" t="s">
        <v>55</v>
      </c>
    </row>
    <row r="18" spans="2:20">
      <c r="B18" t="s">
        <v>100</v>
      </c>
      <c r="C18" t="s">
        <v>64</v>
      </c>
      <c r="D18">
        <v>48</v>
      </c>
      <c r="E18" s="17" t="s">
        <v>37</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65</v>
      </c>
      <c r="R18" s="19" t="s">
        <v>51</v>
      </c>
      <c r="S18" s="12">
        <v>43</v>
      </c>
      <c r="T18" s="13" t="s">
        <v>54</v>
      </c>
    </row>
    <row r="19" spans="2:20">
      <c r="B19" t="s">
        <v>101</v>
      </c>
      <c r="C19" t="s">
        <v>63</v>
      </c>
      <c r="D19">
        <v>176</v>
      </c>
      <c r="E19" s="17" t="s">
        <v>41</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102</v>
      </c>
      <c r="C20" t="s">
        <v>63</v>
      </c>
      <c r="D20">
        <v>99</v>
      </c>
      <c r="E20" s="17" t="s">
        <v>37</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103</v>
      </c>
      <c r="C21" t="s">
        <v>69</v>
      </c>
      <c r="D21">
        <v>28</v>
      </c>
      <c r="E21" s="17" t="s">
        <v>39</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104</v>
      </c>
      <c r="C22" t="s">
        <v>61</v>
      </c>
      <c r="D22">
        <v>54</v>
      </c>
      <c r="E22" s="17" t="s">
        <v>38</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105</v>
      </c>
      <c r="C23" t="s">
        <v>68</v>
      </c>
      <c r="D23">
        <v>48</v>
      </c>
      <c r="E23" s="17" t="s">
        <v>41</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106</v>
      </c>
      <c r="C24" t="s">
        <v>57</v>
      </c>
      <c r="D24">
        <v>128</v>
      </c>
      <c r="E24" s="17" t="s">
        <v>41</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107</v>
      </c>
      <c r="C25" t="s">
        <v>57</v>
      </c>
      <c r="D25">
        <v>38</v>
      </c>
      <c r="E25" s="17" t="s">
        <v>40</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108</v>
      </c>
      <c r="C26" t="s">
        <v>56</v>
      </c>
      <c r="D26">
        <v>67</v>
      </c>
      <c r="E26" s="17" t="s">
        <v>40</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109</v>
      </c>
      <c r="C27" t="s">
        <v>65</v>
      </c>
      <c r="D27">
        <v>58</v>
      </c>
      <c r="E27" s="17" t="s">
        <v>38</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110</v>
      </c>
      <c r="C28" t="s">
        <v>63</v>
      </c>
      <c r="D28">
        <v>54</v>
      </c>
      <c r="E28" s="17" t="s">
        <v>37</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111</v>
      </c>
      <c r="C29" t="s">
        <v>59</v>
      </c>
      <c r="D29">
        <v>28</v>
      </c>
      <c r="E29" s="17" t="s">
        <v>41</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112</v>
      </c>
      <c r="C30" t="s">
        <v>60</v>
      </c>
      <c r="D30">
        <v>73</v>
      </c>
      <c r="E30" s="17" t="s">
        <v>41</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113</v>
      </c>
      <c r="C31" t="s">
        <v>58</v>
      </c>
      <c r="D31">
        <v>81</v>
      </c>
      <c r="E31" s="17" t="s">
        <v>41</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114</v>
      </c>
      <c r="C32" t="s">
        <v>69</v>
      </c>
      <c r="D32">
        <v>31</v>
      </c>
      <c r="E32" s="17" t="s">
        <v>40</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115</v>
      </c>
      <c r="C33" t="s">
        <v>65</v>
      </c>
      <c r="D33">
        <v>155</v>
      </c>
      <c r="E33" s="17" t="s">
        <v>37</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116</v>
      </c>
      <c r="C34" t="s">
        <v>69</v>
      </c>
      <c r="D34">
        <v>80</v>
      </c>
      <c r="E34" s="17" t="s">
        <v>41</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117</v>
      </c>
      <c r="C35" t="s">
        <v>58</v>
      </c>
      <c r="D35">
        <v>82</v>
      </c>
      <c r="E35" s="17" t="s">
        <v>41</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118</v>
      </c>
      <c r="C36" t="s">
        <v>58</v>
      </c>
      <c r="D36">
        <v>29</v>
      </c>
      <c r="E36" s="17" t="s">
        <v>37</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119</v>
      </c>
      <c r="C37" t="s">
        <v>68</v>
      </c>
      <c r="D37">
        <v>160</v>
      </c>
      <c r="E37" s="17" t="s">
        <v>38</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120</v>
      </c>
      <c r="C38" t="s">
        <v>66</v>
      </c>
      <c r="D38">
        <v>105</v>
      </c>
      <c r="E38" s="17" t="s">
        <v>41</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121</v>
      </c>
      <c r="C39" t="s">
        <v>69</v>
      </c>
      <c r="D39">
        <v>75</v>
      </c>
      <c r="E39" s="17" t="s">
        <v>39</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122</v>
      </c>
      <c r="C40" t="s">
        <v>65</v>
      </c>
      <c r="D40">
        <v>94</v>
      </c>
      <c r="E40" s="17" t="s">
        <v>39</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123</v>
      </c>
      <c r="C41" t="s">
        <v>57</v>
      </c>
      <c r="D41">
        <v>90</v>
      </c>
      <c r="E41" s="17" t="s">
        <v>38</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124</v>
      </c>
      <c r="C42" t="s">
        <v>65</v>
      </c>
      <c r="D42">
        <v>81</v>
      </c>
      <c r="E42" s="17" t="s">
        <v>40</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125</v>
      </c>
      <c r="C43" t="s">
        <v>69</v>
      </c>
      <c r="D43">
        <v>106</v>
      </c>
      <c r="E43" s="17" t="s">
        <v>41</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126</v>
      </c>
      <c r="C44" t="s">
        <v>57</v>
      </c>
      <c r="D44">
        <v>74</v>
      </c>
      <c r="E44" s="17" t="s">
        <v>40</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127</v>
      </c>
      <c r="C45" t="s">
        <v>63</v>
      </c>
      <c r="D45">
        <v>105</v>
      </c>
      <c r="E45" s="17" t="s">
        <v>38</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128</v>
      </c>
      <c r="C46" t="s">
        <v>69</v>
      </c>
      <c r="D46">
        <v>89</v>
      </c>
      <c r="E46" s="17" t="s">
        <v>41</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129</v>
      </c>
      <c r="C47" t="s">
        <v>64</v>
      </c>
      <c r="D47">
        <v>132</v>
      </c>
      <c r="E47" s="17" t="s">
        <v>39</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130</v>
      </c>
      <c r="C48" t="s">
        <v>66</v>
      </c>
      <c r="D48">
        <v>105</v>
      </c>
      <c r="E48" s="17" t="s">
        <v>37</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131</v>
      </c>
      <c r="C49" t="s">
        <v>58</v>
      </c>
      <c r="D49">
        <v>13</v>
      </c>
      <c r="E49" s="17" t="s">
        <v>39</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132</v>
      </c>
      <c r="C50" t="s">
        <v>70</v>
      </c>
      <c r="D50">
        <v>131</v>
      </c>
      <c r="E50" s="17" t="s">
        <v>37</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133</v>
      </c>
      <c r="C51" t="s">
        <v>57</v>
      </c>
      <c r="D51">
        <v>104</v>
      </c>
      <c r="E51" s="17" t="s">
        <v>41</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134</v>
      </c>
      <c r="C52" t="s">
        <v>56</v>
      </c>
      <c r="D52">
        <v>90</v>
      </c>
      <c r="E52" s="17" t="s">
        <v>38</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135</v>
      </c>
      <c r="C53" t="s">
        <v>59</v>
      </c>
      <c r="D53">
        <v>37</v>
      </c>
      <c r="E53" s="17" t="s">
        <v>38</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136</v>
      </c>
      <c r="C54" t="s">
        <v>60</v>
      </c>
      <c r="D54">
        <v>149</v>
      </c>
      <c r="E54" s="17" t="s">
        <v>37</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137</v>
      </c>
      <c r="C55" t="s">
        <v>64</v>
      </c>
      <c r="D55">
        <v>100</v>
      </c>
      <c r="E55" s="17" t="s">
        <v>40</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138</v>
      </c>
      <c r="C56" t="s">
        <v>64</v>
      </c>
      <c r="D56">
        <v>79</v>
      </c>
      <c r="E56" s="17" t="s">
        <v>39</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139</v>
      </c>
      <c r="C57" t="s">
        <v>62</v>
      </c>
      <c r="D57">
        <v>157</v>
      </c>
      <c r="E57" s="17" t="s">
        <v>37</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140</v>
      </c>
      <c r="C58" t="s">
        <v>64</v>
      </c>
      <c r="D58">
        <v>59</v>
      </c>
      <c r="E58" s="17" t="s">
        <v>41</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141</v>
      </c>
      <c r="C59" t="s">
        <v>59</v>
      </c>
      <c r="D59">
        <v>83</v>
      </c>
      <c r="E59" s="17" t="s">
        <v>37</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142</v>
      </c>
      <c r="C60" t="s">
        <v>62</v>
      </c>
      <c r="D60">
        <v>58</v>
      </c>
      <c r="E60" s="17" t="s">
        <v>38</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143</v>
      </c>
      <c r="C61" t="s">
        <v>65</v>
      </c>
      <c r="D61">
        <v>118</v>
      </c>
      <c r="E61" s="17" t="s">
        <v>38</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144</v>
      </c>
      <c r="C62" t="s">
        <v>58</v>
      </c>
      <c r="D62">
        <v>63</v>
      </c>
      <c r="E62" s="17" t="s">
        <v>41</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145</v>
      </c>
      <c r="C63" t="s">
        <v>62</v>
      </c>
      <c r="D63">
        <v>95</v>
      </c>
      <c r="E63" s="17" t="s">
        <v>38</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146</v>
      </c>
      <c r="C64" t="s">
        <v>64</v>
      </c>
      <c r="D64">
        <v>74</v>
      </c>
      <c r="E64" s="17" t="s">
        <v>37</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147</v>
      </c>
      <c r="C65" t="s">
        <v>63</v>
      </c>
      <c r="D65">
        <v>130</v>
      </c>
      <c r="E65" s="17" t="s">
        <v>40</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148</v>
      </c>
      <c r="C66" t="s">
        <v>65</v>
      </c>
      <c r="D66">
        <v>110</v>
      </c>
      <c r="E66" s="17" t="s">
        <v>39</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149</v>
      </c>
      <c r="C67" t="s">
        <v>64</v>
      </c>
      <c r="D67">
        <v>71</v>
      </c>
      <c r="E67" s="17" t="s">
        <v>41</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150</v>
      </c>
      <c r="C68" t="s">
        <v>66</v>
      </c>
      <c r="D68">
        <v>147</v>
      </c>
      <c r="E68" s="17" t="s">
        <v>40</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151</v>
      </c>
      <c r="C69" t="s">
        <v>57</v>
      </c>
      <c r="D69">
        <v>69</v>
      </c>
      <c r="E69" s="17" t="s">
        <v>38</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152</v>
      </c>
      <c r="C70" t="s">
        <v>65</v>
      </c>
      <c r="D70">
        <v>50</v>
      </c>
      <c r="E70" s="17" t="s">
        <v>41</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153</v>
      </c>
      <c r="C71" t="s">
        <v>63</v>
      </c>
      <c r="D71">
        <v>124</v>
      </c>
      <c r="E71" s="17" t="s">
        <v>40</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154</v>
      </c>
      <c r="C72" t="s">
        <v>67</v>
      </c>
      <c r="D72">
        <v>81</v>
      </c>
      <c r="E72" s="17" t="s">
        <v>37</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155</v>
      </c>
      <c r="C73" t="s">
        <v>68</v>
      </c>
      <c r="D73">
        <v>141</v>
      </c>
      <c r="E73" s="17" t="s">
        <v>39</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156</v>
      </c>
      <c r="C74" t="s">
        <v>68</v>
      </c>
      <c r="D74">
        <v>168</v>
      </c>
      <c r="E74" s="17" t="s">
        <v>39</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157</v>
      </c>
      <c r="C75" t="s">
        <v>66</v>
      </c>
      <c r="D75">
        <v>101</v>
      </c>
      <c r="E75" s="17" t="s">
        <v>37</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158</v>
      </c>
      <c r="C76" t="s">
        <v>64</v>
      </c>
      <c r="D76">
        <v>67</v>
      </c>
      <c r="E76" s="17" t="s">
        <v>37</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159</v>
      </c>
      <c r="C77" t="s">
        <v>62</v>
      </c>
      <c r="D77">
        <v>114</v>
      </c>
      <c r="E77" s="17" t="s">
        <v>39</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160</v>
      </c>
      <c r="C78" t="s">
        <v>67</v>
      </c>
      <c r="D78">
        <v>42</v>
      </c>
      <c r="E78" s="17" t="s">
        <v>37</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161</v>
      </c>
      <c r="C79" t="s">
        <v>58</v>
      </c>
      <c r="D79">
        <v>69</v>
      </c>
      <c r="E79" s="17" t="s">
        <v>39</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162</v>
      </c>
      <c r="C80" t="s">
        <v>63</v>
      </c>
      <c r="D80">
        <v>145</v>
      </c>
      <c r="E80" s="17" t="s">
        <v>38</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163</v>
      </c>
      <c r="C81" t="s">
        <v>57</v>
      </c>
      <c r="D81">
        <v>43</v>
      </c>
      <c r="E81" s="17" t="s">
        <v>39</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164</v>
      </c>
      <c r="C82" t="s">
        <v>58</v>
      </c>
      <c r="D82">
        <v>62</v>
      </c>
      <c r="E82" s="17" t="s">
        <v>41</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165</v>
      </c>
      <c r="C83" t="s">
        <v>69</v>
      </c>
      <c r="D83">
        <v>79</v>
      </c>
      <c r="E83" s="17" t="s">
        <v>39</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166</v>
      </c>
      <c r="C84" t="s">
        <v>63</v>
      </c>
      <c r="D84">
        <v>45</v>
      </c>
      <c r="E84" s="17" t="s">
        <v>40</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167</v>
      </c>
      <c r="C85" t="s">
        <v>58</v>
      </c>
      <c r="D85">
        <v>137</v>
      </c>
      <c r="E85" s="17" t="s">
        <v>39</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168</v>
      </c>
      <c r="C86" t="s">
        <v>62</v>
      </c>
      <c r="D86">
        <v>109</v>
      </c>
      <c r="E86" s="17" t="s">
        <v>41</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169</v>
      </c>
      <c r="C87" t="s">
        <v>57</v>
      </c>
      <c r="D87">
        <v>78</v>
      </c>
      <c r="E87" s="17" t="s">
        <v>41</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170</v>
      </c>
      <c r="C88" t="s">
        <v>58</v>
      </c>
      <c r="D88">
        <v>137</v>
      </c>
      <c r="E88" s="17" t="s">
        <v>40</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171</v>
      </c>
      <c r="C89" t="s">
        <v>70</v>
      </c>
      <c r="D89">
        <v>99</v>
      </c>
      <c r="E89" s="17" t="s">
        <v>41</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172</v>
      </c>
      <c r="C90" t="s">
        <v>65</v>
      </c>
      <c r="D90">
        <v>100</v>
      </c>
      <c r="E90" s="17" t="s">
        <v>41</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173</v>
      </c>
      <c r="C91" t="s">
        <v>57</v>
      </c>
      <c r="D91">
        <v>47</v>
      </c>
      <c r="E91" s="17" t="s">
        <v>38</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174</v>
      </c>
      <c r="C92" t="s">
        <v>62</v>
      </c>
      <c r="D92">
        <v>87</v>
      </c>
      <c r="E92" s="17" t="s">
        <v>37</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175</v>
      </c>
      <c r="C93" t="s">
        <v>70</v>
      </c>
      <c r="D93">
        <v>143</v>
      </c>
      <c r="E93" s="17" t="s">
        <v>37</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176</v>
      </c>
      <c r="C94" t="s">
        <v>65</v>
      </c>
      <c r="D94">
        <v>84</v>
      </c>
      <c r="E94" s="17" t="s">
        <v>41</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177</v>
      </c>
      <c r="C95" t="s">
        <v>66</v>
      </c>
      <c r="D95">
        <v>55</v>
      </c>
      <c r="E95" s="17" t="s">
        <v>37</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178</v>
      </c>
      <c r="C96" t="s">
        <v>61</v>
      </c>
      <c r="D96">
        <v>135</v>
      </c>
      <c r="E96" s="17" t="s">
        <v>40</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179</v>
      </c>
      <c r="C97" t="s">
        <v>59</v>
      </c>
      <c r="D97">
        <v>152</v>
      </c>
      <c r="E97" s="17" t="s">
        <v>38</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180</v>
      </c>
      <c r="C98" t="s">
        <v>67</v>
      </c>
      <c r="D98">
        <v>132</v>
      </c>
      <c r="E98" s="17" t="s">
        <v>38</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181</v>
      </c>
      <c r="C99" t="s">
        <v>68</v>
      </c>
      <c r="D99">
        <v>60</v>
      </c>
      <c r="E99" s="17" t="s">
        <v>41</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182</v>
      </c>
      <c r="C100" t="s">
        <v>59</v>
      </c>
      <c r="D100">
        <v>95</v>
      </c>
      <c r="E100" s="17" t="s">
        <v>38</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183</v>
      </c>
      <c r="C101" t="s">
        <v>56</v>
      </c>
      <c r="D101">
        <v>96</v>
      </c>
      <c r="E101" s="17" t="s">
        <v>39</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184</v>
      </c>
      <c r="C102" t="s">
        <v>66</v>
      </c>
      <c r="D102">
        <v>45</v>
      </c>
      <c r="E102" s="17" t="s">
        <v>41</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185</v>
      </c>
      <c r="C103" t="s">
        <v>56</v>
      </c>
      <c r="D103">
        <v>132</v>
      </c>
      <c r="E103" s="17" t="s">
        <v>39</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186</v>
      </c>
      <c r="C104" t="s">
        <v>64</v>
      </c>
      <c r="D104">
        <v>95</v>
      </c>
      <c r="E104" s="17" t="s">
        <v>41</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187</v>
      </c>
      <c r="C105" t="s">
        <v>59</v>
      </c>
      <c r="D105">
        <v>131</v>
      </c>
      <c r="E105" s="17" t="s">
        <v>37</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188</v>
      </c>
      <c r="C106" t="s">
        <v>69</v>
      </c>
      <c r="D106">
        <v>67</v>
      </c>
      <c r="E106" s="17" t="s">
        <v>40</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189</v>
      </c>
      <c r="C107" t="s">
        <v>70</v>
      </c>
      <c r="D107">
        <v>111</v>
      </c>
      <c r="E107" s="17" t="s">
        <v>37</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190</v>
      </c>
      <c r="C108" t="s">
        <v>67</v>
      </c>
      <c r="D108">
        <v>78</v>
      </c>
      <c r="E108" s="17" t="s">
        <v>38</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191</v>
      </c>
      <c r="C109" t="s">
        <v>60</v>
      </c>
      <c r="D109">
        <v>28</v>
      </c>
      <c r="E109" s="17" t="s">
        <v>39</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192</v>
      </c>
      <c r="C110" t="s">
        <v>57</v>
      </c>
      <c r="D110">
        <v>127</v>
      </c>
      <c r="E110" s="17" t="s">
        <v>40</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193</v>
      </c>
      <c r="C111" t="s">
        <v>65</v>
      </c>
      <c r="D111">
        <v>137</v>
      </c>
      <c r="E111" s="17" t="s">
        <v>37</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194</v>
      </c>
      <c r="C112" t="s">
        <v>57</v>
      </c>
      <c r="D112">
        <v>76</v>
      </c>
      <c r="E112" s="17" t="s">
        <v>39</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195</v>
      </c>
      <c r="C113" t="s">
        <v>67</v>
      </c>
      <c r="D113">
        <v>80</v>
      </c>
      <c r="E113" s="17" t="s">
        <v>40</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196</v>
      </c>
      <c r="C114" t="s">
        <v>57</v>
      </c>
      <c r="D114">
        <v>95</v>
      </c>
      <c r="E114" s="17" t="s">
        <v>38</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197</v>
      </c>
      <c r="C115" t="s">
        <v>68</v>
      </c>
      <c r="D115">
        <v>30</v>
      </c>
      <c r="E115" s="17" t="s">
        <v>39</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198</v>
      </c>
      <c r="C116" t="s">
        <v>58</v>
      </c>
      <c r="D116">
        <v>19</v>
      </c>
      <c r="E116" s="17" t="s">
        <v>37</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199</v>
      </c>
      <c r="C117" t="s">
        <v>63</v>
      </c>
      <c r="D117">
        <v>38</v>
      </c>
      <c r="E117" s="17" t="s">
        <v>40</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200</v>
      </c>
      <c r="C118" t="s">
        <v>64</v>
      </c>
      <c r="D118">
        <v>55</v>
      </c>
      <c r="E118" s="17" t="s">
        <v>37</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201</v>
      </c>
      <c r="C119" t="s">
        <v>69</v>
      </c>
      <c r="D119">
        <v>27</v>
      </c>
      <c r="E119" s="17" t="s">
        <v>39</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202</v>
      </c>
      <c r="C120" t="s">
        <v>69</v>
      </c>
      <c r="D120">
        <v>32</v>
      </c>
      <c r="E120" s="17" t="s">
        <v>39</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203</v>
      </c>
      <c r="C121" t="s">
        <v>60</v>
      </c>
      <c r="D121">
        <v>116</v>
      </c>
      <c r="E121" s="17" t="s">
        <v>41</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204</v>
      </c>
      <c r="C122" t="s">
        <v>56</v>
      </c>
      <c r="D122">
        <v>99</v>
      </c>
      <c r="E122" s="17" t="s">
        <v>38</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205</v>
      </c>
      <c r="C123" t="s">
        <v>57</v>
      </c>
      <c r="D123">
        <v>75</v>
      </c>
      <c r="E123" s="17" t="s">
        <v>39</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206</v>
      </c>
      <c r="C124" t="s">
        <v>67</v>
      </c>
      <c r="D124">
        <v>57</v>
      </c>
      <c r="E124" s="17" t="s">
        <v>41</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207</v>
      </c>
      <c r="C125" t="s">
        <v>61</v>
      </c>
      <c r="D125">
        <v>155</v>
      </c>
      <c r="E125" s="17" t="s">
        <v>41</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208</v>
      </c>
      <c r="C126" t="s">
        <v>56</v>
      </c>
      <c r="D126">
        <v>68</v>
      </c>
      <c r="E126" s="17" t="s">
        <v>38</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209</v>
      </c>
      <c r="C127" t="s">
        <v>63</v>
      </c>
      <c r="D127">
        <v>95</v>
      </c>
      <c r="E127" s="17" t="s">
        <v>38</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210</v>
      </c>
      <c r="C128" t="s">
        <v>65</v>
      </c>
      <c r="D128">
        <v>65</v>
      </c>
      <c r="E128" s="17" t="s">
        <v>41</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211</v>
      </c>
      <c r="C129" t="s">
        <v>58</v>
      </c>
      <c r="D129">
        <v>114</v>
      </c>
      <c r="E129" s="17" t="s">
        <v>37</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212</v>
      </c>
      <c r="C130" t="s">
        <v>57</v>
      </c>
      <c r="D130">
        <v>155</v>
      </c>
      <c r="E130" s="17" t="s">
        <v>37</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213</v>
      </c>
      <c r="C131" t="s">
        <v>65</v>
      </c>
      <c r="D131">
        <v>114</v>
      </c>
      <c r="E131" s="17" t="s">
        <v>41</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214</v>
      </c>
      <c r="C132" t="s">
        <v>61</v>
      </c>
      <c r="D132">
        <v>130</v>
      </c>
      <c r="E132" s="17" t="s">
        <v>40</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215</v>
      </c>
      <c r="C133" t="s">
        <v>57</v>
      </c>
      <c r="D133">
        <v>89</v>
      </c>
      <c r="E133" s="17" t="s">
        <v>41</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216</v>
      </c>
      <c r="C134" t="s">
        <v>66</v>
      </c>
      <c r="D134">
        <v>61</v>
      </c>
      <c r="E134" s="17" t="s">
        <v>39</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217</v>
      </c>
      <c r="C135" t="s">
        <v>63</v>
      </c>
      <c r="D135">
        <v>154</v>
      </c>
      <c r="E135" s="17" t="s">
        <v>37</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218</v>
      </c>
      <c r="C136" t="s">
        <v>65</v>
      </c>
      <c r="D136">
        <v>115</v>
      </c>
      <c r="E136" s="17" t="s">
        <v>40</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219</v>
      </c>
      <c r="C137" t="s">
        <v>62</v>
      </c>
      <c r="D137">
        <v>138</v>
      </c>
      <c r="E137" s="17" t="s">
        <v>38</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220</v>
      </c>
      <c r="C138" t="s">
        <v>70</v>
      </c>
      <c r="D138">
        <v>153</v>
      </c>
      <c r="E138" s="17" t="s">
        <v>41</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221</v>
      </c>
      <c r="C139" t="s">
        <v>65</v>
      </c>
      <c r="D139">
        <v>61</v>
      </c>
      <c r="E139" s="17" t="s">
        <v>39</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222</v>
      </c>
      <c r="C140" t="s">
        <v>69</v>
      </c>
      <c r="D140">
        <v>62</v>
      </c>
      <c r="E140" s="17" t="s">
        <v>41</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223</v>
      </c>
      <c r="C141" t="s">
        <v>66</v>
      </c>
      <c r="D141">
        <v>151</v>
      </c>
      <c r="E141" s="17" t="s">
        <v>40</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224</v>
      </c>
      <c r="C142" t="s">
        <v>59</v>
      </c>
      <c r="D142">
        <v>102</v>
      </c>
      <c r="E142" s="17" t="s">
        <v>37</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225</v>
      </c>
      <c r="C143" t="s">
        <v>68</v>
      </c>
      <c r="D143">
        <v>64</v>
      </c>
      <c r="E143" s="17" t="s">
        <v>41</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226</v>
      </c>
      <c r="C144" t="s">
        <v>57</v>
      </c>
      <c r="D144">
        <v>6</v>
      </c>
      <c r="E144" s="17" t="s">
        <v>37</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227</v>
      </c>
      <c r="C145" t="s">
        <v>68</v>
      </c>
      <c r="D145">
        <v>129</v>
      </c>
      <c r="E145" s="17" t="s">
        <v>41</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228</v>
      </c>
      <c r="C146" t="s">
        <v>69</v>
      </c>
      <c r="D146">
        <v>42</v>
      </c>
      <c r="E146" s="17" t="s">
        <v>40</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229</v>
      </c>
      <c r="C147" t="s">
        <v>69</v>
      </c>
      <c r="D147">
        <v>71</v>
      </c>
      <c r="E147" s="17" t="s">
        <v>39</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230</v>
      </c>
      <c r="C148" t="s">
        <v>67</v>
      </c>
      <c r="D148">
        <v>53</v>
      </c>
      <c r="E148" s="17" t="s">
        <v>37</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231</v>
      </c>
      <c r="C149" t="s">
        <v>58</v>
      </c>
      <c r="D149">
        <v>155</v>
      </c>
      <c r="E149" s="17" t="s">
        <v>39</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232</v>
      </c>
      <c r="C150" t="s">
        <v>58</v>
      </c>
      <c r="D150">
        <v>90</v>
      </c>
      <c r="E150" s="17" t="s">
        <v>40</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233</v>
      </c>
      <c r="C151" t="s">
        <v>68</v>
      </c>
      <c r="D151">
        <v>166</v>
      </c>
      <c r="E151" s="17" t="s">
        <v>38</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234</v>
      </c>
      <c r="C152" t="s">
        <v>60</v>
      </c>
      <c r="D152">
        <v>89</v>
      </c>
      <c r="E152" s="17" t="s">
        <v>39</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235</v>
      </c>
      <c r="C153" t="s">
        <v>65</v>
      </c>
      <c r="D153">
        <v>152</v>
      </c>
      <c r="E153" s="17" t="s">
        <v>37</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236</v>
      </c>
      <c r="C154" t="s">
        <v>60</v>
      </c>
      <c r="D154">
        <v>137</v>
      </c>
      <c r="E154" s="17" t="s">
        <v>40</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237</v>
      </c>
      <c r="C155" t="s">
        <v>60</v>
      </c>
      <c r="D155">
        <v>43</v>
      </c>
      <c r="E155" s="17" t="s">
        <v>40</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238</v>
      </c>
      <c r="C156" t="s">
        <v>63</v>
      </c>
      <c r="D156">
        <v>114</v>
      </c>
      <c r="E156" s="17" t="s">
        <v>40</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239</v>
      </c>
      <c r="C157" t="s">
        <v>70</v>
      </c>
      <c r="D157">
        <v>103</v>
      </c>
      <c r="E157" s="17" t="s">
        <v>39</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240</v>
      </c>
      <c r="C158" t="s">
        <v>60</v>
      </c>
      <c r="D158">
        <v>98</v>
      </c>
      <c r="E158" s="17" t="s">
        <v>37</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241</v>
      </c>
      <c r="C159" t="s">
        <v>68</v>
      </c>
      <c r="D159">
        <v>106</v>
      </c>
      <c r="E159" s="17" t="s">
        <v>38</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242</v>
      </c>
      <c r="C160" t="s">
        <v>57</v>
      </c>
      <c r="D160">
        <v>96</v>
      </c>
      <c r="E160" s="17" t="s">
        <v>38</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243</v>
      </c>
      <c r="C161" t="s">
        <v>70</v>
      </c>
      <c r="D161">
        <v>70</v>
      </c>
      <c r="E161" s="17" t="s">
        <v>38</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244</v>
      </c>
      <c r="C162" t="s">
        <v>69</v>
      </c>
      <c r="D162">
        <v>86</v>
      </c>
      <c r="E162" s="17" t="s">
        <v>41</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245</v>
      </c>
      <c r="C163" t="s">
        <v>67</v>
      </c>
      <c r="D163">
        <v>64</v>
      </c>
      <c r="E163" s="17" t="s">
        <v>41</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246</v>
      </c>
      <c r="C164" t="s">
        <v>57</v>
      </c>
      <c r="D164">
        <v>113</v>
      </c>
      <c r="E164" s="17" t="s">
        <v>37</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247</v>
      </c>
      <c r="C165" t="s">
        <v>57</v>
      </c>
      <c r="D165">
        <v>21</v>
      </c>
      <c r="E165" s="17" t="s">
        <v>38</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248</v>
      </c>
      <c r="C166" t="s">
        <v>59</v>
      </c>
      <c r="D166">
        <v>107</v>
      </c>
      <c r="E166" s="17" t="s">
        <v>41</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249</v>
      </c>
      <c r="C167" t="s">
        <v>59</v>
      </c>
      <c r="D167">
        <v>131</v>
      </c>
      <c r="E167" s="17" t="s">
        <v>38</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250</v>
      </c>
      <c r="C168" t="s">
        <v>56</v>
      </c>
      <c r="D168">
        <v>11</v>
      </c>
      <c r="E168" s="17" t="s">
        <v>39</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251</v>
      </c>
      <c r="C169" t="s">
        <v>66</v>
      </c>
      <c r="D169">
        <v>86</v>
      </c>
      <c r="E169" s="17" t="s">
        <v>37</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252</v>
      </c>
      <c r="C170" t="s">
        <v>67</v>
      </c>
      <c r="D170">
        <v>28</v>
      </c>
      <c r="E170" s="17" t="s">
        <v>39</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253</v>
      </c>
      <c r="C171" t="s">
        <v>58</v>
      </c>
      <c r="D171">
        <v>139</v>
      </c>
      <c r="E171" s="17" t="s">
        <v>38</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254</v>
      </c>
      <c r="C172" t="s">
        <v>68</v>
      </c>
      <c r="D172">
        <v>82</v>
      </c>
      <c r="E172" s="17" t="s">
        <v>37</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255</v>
      </c>
      <c r="C173" t="s">
        <v>57</v>
      </c>
      <c r="D173">
        <v>101</v>
      </c>
      <c r="E173" s="17" t="s">
        <v>39</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256</v>
      </c>
      <c r="C174" t="s">
        <v>67</v>
      </c>
      <c r="D174">
        <v>75</v>
      </c>
      <c r="E174" s="17" t="s">
        <v>40</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257</v>
      </c>
      <c r="C175" t="s">
        <v>63</v>
      </c>
      <c r="D175">
        <v>40</v>
      </c>
      <c r="E175" s="17" t="s">
        <v>39</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258</v>
      </c>
      <c r="C176" t="s">
        <v>60</v>
      </c>
      <c r="D176">
        <v>86</v>
      </c>
      <c r="E176" s="17" t="s">
        <v>38</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259</v>
      </c>
      <c r="C177" t="s">
        <v>61</v>
      </c>
      <c r="D177">
        <v>131</v>
      </c>
      <c r="E177" s="17" t="s">
        <v>41</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260</v>
      </c>
      <c r="C178" t="s">
        <v>59</v>
      </c>
      <c r="D178">
        <v>67</v>
      </c>
      <c r="E178" s="17" t="s">
        <v>37</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261</v>
      </c>
      <c r="C179" t="s">
        <v>62</v>
      </c>
      <c r="D179">
        <v>71</v>
      </c>
      <c r="E179" s="17" t="s">
        <v>39</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262</v>
      </c>
      <c r="C180" t="s">
        <v>61</v>
      </c>
      <c r="D180">
        <v>113</v>
      </c>
      <c r="E180" s="17" t="s">
        <v>41</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263</v>
      </c>
      <c r="C181" t="s">
        <v>68</v>
      </c>
      <c r="D181">
        <v>53</v>
      </c>
      <c r="E181" s="17" t="s">
        <v>38</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264</v>
      </c>
      <c r="C182" t="s">
        <v>61</v>
      </c>
      <c r="D182">
        <v>153</v>
      </c>
      <c r="E182" s="17" t="s">
        <v>37</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265</v>
      </c>
      <c r="C183" t="s">
        <v>59</v>
      </c>
      <c r="D183">
        <v>73</v>
      </c>
      <c r="E183" s="17" t="s">
        <v>40</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266</v>
      </c>
      <c r="C184" t="s">
        <v>69</v>
      </c>
      <c r="D184">
        <v>62</v>
      </c>
      <c r="E184" s="17" t="s">
        <v>40</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267</v>
      </c>
      <c r="C185" t="s">
        <v>58</v>
      </c>
      <c r="D185">
        <v>115</v>
      </c>
      <c r="E185" s="17" t="s">
        <v>38</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268</v>
      </c>
      <c r="C186" t="s">
        <v>61</v>
      </c>
      <c r="D186">
        <v>69</v>
      </c>
      <c r="E186" s="17" t="s">
        <v>38</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269</v>
      </c>
      <c r="C187" t="s">
        <v>60</v>
      </c>
      <c r="D187">
        <v>103</v>
      </c>
      <c r="E187" s="17" t="s">
        <v>41</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270</v>
      </c>
      <c r="C188" t="s">
        <v>60</v>
      </c>
      <c r="D188">
        <v>75</v>
      </c>
      <c r="E188" s="17" t="s">
        <v>41</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271</v>
      </c>
      <c r="C189" t="s">
        <v>64</v>
      </c>
      <c r="D189">
        <v>92</v>
      </c>
      <c r="E189" s="17" t="s">
        <v>41</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272</v>
      </c>
      <c r="C190" t="s">
        <v>64</v>
      </c>
      <c r="D190">
        <v>41</v>
      </c>
      <c r="E190" s="17" t="s">
        <v>40</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273</v>
      </c>
      <c r="C191" t="s">
        <v>60</v>
      </c>
      <c r="D191">
        <v>134</v>
      </c>
      <c r="E191" s="17" t="s">
        <v>37</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274</v>
      </c>
      <c r="C192" t="s">
        <v>66</v>
      </c>
      <c r="D192">
        <v>80</v>
      </c>
      <c r="E192" s="17" t="s">
        <v>39</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275</v>
      </c>
      <c r="C193" t="s">
        <v>62</v>
      </c>
      <c r="D193">
        <v>103</v>
      </c>
      <c r="E193" s="17" t="s">
        <v>38</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276</v>
      </c>
      <c r="C194" t="s">
        <v>68</v>
      </c>
      <c r="D194">
        <v>20</v>
      </c>
      <c r="E194" s="17" t="s">
        <v>41</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277</v>
      </c>
      <c r="C195" t="s">
        <v>62</v>
      </c>
      <c r="D195">
        <v>75</v>
      </c>
      <c r="E195" s="17" t="s">
        <v>39</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278</v>
      </c>
      <c r="C196" t="s">
        <v>64</v>
      </c>
      <c r="D196">
        <v>80</v>
      </c>
      <c r="E196" s="17" t="s">
        <v>37</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279</v>
      </c>
      <c r="C197" t="s">
        <v>61</v>
      </c>
      <c r="D197">
        <v>85</v>
      </c>
      <c r="E197" s="17" t="s">
        <v>40</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280</v>
      </c>
      <c r="C198" t="s">
        <v>57</v>
      </c>
      <c r="D198">
        <v>155</v>
      </c>
      <c r="E198" s="17" t="s">
        <v>41</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281</v>
      </c>
      <c r="C199" t="s">
        <v>61</v>
      </c>
      <c r="D199">
        <v>63</v>
      </c>
      <c r="E199" s="17" t="s">
        <v>40</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282</v>
      </c>
      <c r="C200" t="s">
        <v>67</v>
      </c>
      <c r="D200">
        <v>105</v>
      </c>
      <c r="E200" s="17" t="s">
        <v>38</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283</v>
      </c>
      <c r="C201" t="s">
        <v>61</v>
      </c>
      <c r="D201">
        <v>71</v>
      </c>
      <c r="E201" s="17" t="s">
        <v>40</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284</v>
      </c>
      <c r="C202" t="s">
        <v>57</v>
      </c>
      <c r="D202">
        <v>100</v>
      </c>
      <c r="E202" s="17" t="s">
        <v>40</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285</v>
      </c>
      <c r="C203" t="s">
        <v>56</v>
      </c>
      <c r="D203">
        <v>93</v>
      </c>
      <c r="E203" s="17" t="s">
        <v>37</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286</v>
      </c>
      <c r="C204" t="s">
        <v>67</v>
      </c>
      <c r="D204">
        <v>84</v>
      </c>
      <c r="E204" s="17" t="s">
        <v>41</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287</v>
      </c>
      <c r="C205" t="s">
        <v>66</v>
      </c>
      <c r="D205">
        <v>56</v>
      </c>
      <c r="E205" s="17" t="s">
        <v>39</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288</v>
      </c>
      <c r="C206" t="s">
        <v>66</v>
      </c>
      <c r="D206">
        <v>63</v>
      </c>
      <c r="E206" s="17" t="s">
        <v>40</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289</v>
      </c>
      <c r="C207" t="s">
        <v>69</v>
      </c>
      <c r="D207">
        <v>83</v>
      </c>
      <c r="E207" s="17" t="s">
        <v>40</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290</v>
      </c>
      <c r="C208" t="s">
        <v>64</v>
      </c>
      <c r="D208">
        <v>134</v>
      </c>
      <c r="E208" s="17" t="s">
        <v>41</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291</v>
      </c>
      <c r="C209" t="s">
        <v>58</v>
      </c>
      <c r="D209">
        <v>73</v>
      </c>
      <c r="E209" s="17" t="s">
        <v>40</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292</v>
      </c>
      <c r="C210" t="s">
        <v>62</v>
      </c>
      <c r="D210">
        <v>6</v>
      </c>
      <c r="E210" s="17" t="s">
        <v>39</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293</v>
      </c>
      <c r="C211" t="s">
        <v>59</v>
      </c>
      <c r="D211">
        <v>46</v>
      </c>
      <c r="E211" s="17" t="s">
        <v>38</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294</v>
      </c>
      <c r="C212" t="s">
        <v>62</v>
      </c>
      <c r="D212">
        <v>121</v>
      </c>
      <c r="E212" s="17" t="s">
        <v>40</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295</v>
      </c>
      <c r="C213" t="s">
        <v>66</v>
      </c>
      <c r="D213">
        <v>61</v>
      </c>
      <c r="E213" s="17" t="s">
        <v>37</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296</v>
      </c>
      <c r="C214" t="s">
        <v>64</v>
      </c>
      <c r="D214">
        <v>144</v>
      </c>
      <c r="E214" s="17" t="s">
        <v>41</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297</v>
      </c>
      <c r="C215" t="s">
        <v>59</v>
      </c>
      <c r="D215">
        <v>145</v>
      </c>
      <c r="E215" s="17" t="s">
        <v>41</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298</v>
      </c>
      <c r="C216" t="s">
        <v>67</v>
      </c>
      <c r="D216">
        <v>85</v>
      </c>
      <c r="E216" s="17" t="s">
        <v>39</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299</v>
      </c>
      <c r="C217" t="s">
        <v>59</v>
      </c>
      <c r="D217">
        <v>13</v>
      </c>
      <c r="E217" s="17" t="s">
        <v>37</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300</v>
      </c>
      <c r="C218" t="s">
        <v>56</v>
      </c>
      <c r="D218">
        <v>142</v>
      </c>
      <c r="E218" s="17" t="s">
        <v>40</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301</v>
      </c>
      <c r="C219" t="s">
        <v>64</v>
      </c>
      <c r="D219">
        <v>28</v>
      </c>
      <c r="E219" s="17" t="s">
        <v>38</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302</v>
      </c>
      <c r="C220" t="s">
        <v>64</v>
      </c>
      <c r="D220">
        <v>119</v>
      </c>
      <c r="E220" s="17" t="s">
        <v>40</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303</v>
      </c>
      <c r="C221" t="s">
        <v>62</v>
      </c>
      <c r="D221">
        <v>65</v>
      </c>
      <c r="E221" s="17" t="s">
        <v>39</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304</v>
      </c>
      <c r="C222" t="s">
        <v>60</v>
      </c>
      <c r="D222">
        <v>68</v>
      </c>
      <c r="E222" s="17" t="s">
        <v>39</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305</v>
      </c>
      <c r="C223" t="s">
        <v>69</v>
      </c>
      <c r="D223">
        <v>72</v>
      </c>
      <c r="E223" s="17" t="s">
        <v>38</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306</v>
      </c>
      <c r="C224" t="s">
        <v>69</v>
      </c>
      <c r="D224">
        <v>63</v>
      </c>
      <c r="E224" s="17" t="s">
        <v>41</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307</v>
      </c>
      <c r="C225" t="s">
        <v>57</v>
      </c>
      <c r="D225">
        <v>139</v>
      </c>
      <c r="E225" s="17" t="s">
        <v>40</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308</v>
      </c>
      <c r="C226" t="s">
        <v>64</v>
      </c>
      <c r="D226">
        <v>59</v>
      </c>
      <c r="E226" s="17" t="s">
        <v>40</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309</v>
      </c>
      <c r="C227" t="s">
        <v>68</v>
      </c>
      <c r="D227">
        <v>138</v>
      </c>
      <c r="E227" s="17" t="s">
        <v>41</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310</v>
      </c>
      <c r="C228" t="s">
        <v>57</v>
      </c>
      <c r="D228">
        <v>47</v>
      </c>
      <c r="E228" s="17" t="s">
        <v>38</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311</v>
      </c>
      <c r="C229" t="s">
        <v>68</v>
      </c>
      <c r="D229">
        <v>74</v>
      </c>
      <c r="E229" s="17" t="s">
        <v>38</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312</v>
      </c>
      <c r="C230" t="s">
        <v>69</v>
      </c>
      <c r="D230">
        <v>65</v>
      </c>
      <c r="E230" s="17" t="s">
        <v>38</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313</v>
      </c>
      <c r="C231" t="s">
        <v>58</v>
      </c>
      <c r="D231">
        <v>123</v>
      </c>
      <c r="E231" s="17" t="s">
        <v>39</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314</v>
      </c>
      <c r="C232" t="s">
        <v>69</v>
      </c>
      <c r="D232">
        <v>90</v>
      </c>
      <c r="E232" s="17" t="s">
        <v>40</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315</v>
      </c>
      <c r="C233" t="s">
        <v>66</v>
      </c>
      <c r="D233">
        <v>127</v>
      </c>
      <c r="E233" s="17" t="s">
        <v>41</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316</v>
      </c>
      <c r="C234" t="s">
        <v>70</v>
      </c>
      <c r="D234">
        <v>60</v>
      </c>
      <c r="E234" s="17" t="s">
        <v>38</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317</v>
      </c>
      <c r="C235" t="s">
        <v>57</v>
      </c>
      <c r="D235">
        <v>94</v>
      </c>
      <c r="E235" s="17" t="s">
        <v>41</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318</v>
      </c>
      <c r="C236" t="s">
        <v>58</v>
      </c>
      <c r="D236">
        <v>54</v>
      </c>
      <c r="E236" s="17" t="s">
        <v>38</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319</v>
      </c>
      <c r="C237" t="s">
        <v>69</v>
      </c>
      <c r="D237">
        <v>104</v>
      </c>
      <c r="E237" s="17" t="s">
        <v>38</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320</v>
      </c>
      <c r="C238" t="s">
        <v>61</v>
      </c>
      <c r="D238">
        <v>100</v>
      </c>
      <c r="E238" s="17" t="s">
        <v>38</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321</v>
      </c>
      <c r="C239" t="s">
        <v>68</v>
      </c>
      <c r="D239">
        <v>84</v>
      </c>
      <c r="E239" s="17" t="s">
        <v>38</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322</v>
      </c>
      <c r="C240" t="s">
        <v>56</v>
      </c>
      <c r="D240">
        <v>92</v>
      </c>
      <c r="E240" s="17" t="s">
        <v>37</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323</v>
      </c>
      <c r="C241" t="s">
        <v>63</v>
      </c>
      <c r="D241">
        <v>64</v>
      </c>
      <c r="E241" s="17" t="s">
        <v>41</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324</v>
      </c>
      <c r="C242" t="s">
        <v>67</v>
      </c>
      <c r="D242">
        <v>89</v>
      </c>
      <c r="E242" s="17" t="s">
        <v>40</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325</v>
      </c>
      <c r="C243" t="s">
        <v>65</v>
      </c>
      <c r="D243">
        <v>40</v>
      </c>
      <c r="E243" s="17" t="s">
        <v>38</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326</v>
      </c>
      <c r="C244" t="s">
        <v>64</v>
      </c>
      <c r="D244">
        <v>75</v>
      </c>
      <c r="E244" s="17" t="s">
        <v>39</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327</v>
      </c>
      <c r="C245" t="s">
        <v>66</v>
      </c>
      <c r="D245">
        <v>106</v>
      </c>
      <c r="E245" s="17" t="s">
        <v>37</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328</v>
      </c>
      <c r="C246" t="s">
        <v>63</v>
      </c>
      <c r="D246">
        <v>58</v>
      </c>
      <c r="E246" s="17" t="s">
        <v>38</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329</v>
      </c>
      <c r="C247" t="s">
        <v>68</v>
      </c>
      <c r="D247">
        <v>84</v>
      </c>
      <c r="E247" s="17" t="s">
        <v>37</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330</v>
      </c>
      <c r="C248" t="s">
        <v>69</v>
      </c>
      <c r="D248">
        <v>140</v>
      </c>
      <c r="E248" s="17" t="s">
        <v>37</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331</v>
      </c>
      <c r="C249" t="s">
        <v>63</v>
      </c>
      <c r="D249">
        <v>67</v>
      </c>
      <c r="E249" s="17" t="s">
        <v>37</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332</v>
      </c>
      <c r="C250" t="s">
        <v>57</v>
      </c>
      <c r="D250">
        <v>126</v>
      </c>
      <c r="E250" s="17" t="s">
        <v>37</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333</v>
      </c>
      <c r="C251" t="s">
        <v>57</v>
      </c>
      <c r="D251">
        <v>89</v>
      </c>
      <c r="E251" s="17" t="s">
        <v>38</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334</v>
      </c>
      <c r="C252" t="s">
        <v>67</v>
      </c>
      <c r="D252">
        <v>56</v>
      </c>
      <c r="E252" s="17" t="s">
        <v>41</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335</v>
      </c>
      <c r="C253" t="s">
        <v>58</v>
      </c>
      <c r="D253">
        <v>48</v>
      </c>
      <c r="E253" s="17" t="s">
        <v>38</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336</v>
      </c>
      <c r="C254" t="s">
        <v>57</v>
      </c>
      <c r="D254">
        <v>55</v>
      </c>
      <c r="E254" s="17" t="s">
        <v>41</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337</v>
      </c>
      <c r="C255" t="s">
        <v>70</v>
      </c>
      <c r="D255">
        <v>88</v>
      </c>
      <c r="E255" s="17" t="s">
        <v>39</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338</v>
      </c>
      <c r="C256" t="s">
        <v>67</v>
      </c>
      <c r="D256">
        <v>102</v>
      </c>
      <c r="E256" s="17" t="s">
        <v>37</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339</v>
      </c>
      <c r="C257" t="s">
        <v>70</v>
      </c>
      <c r="D257">
        <v>155</v>
      </c>
      <c r="E257" s="17" t="s">
        <v>39</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340</v>
      </c>
      <c r="C258" t="s">
        <v>57</v>
      </c>
      <c r="D258">
        <v>63</v>
      </c>
      <c r="E258" s="17" t="s">
        <v>39</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341</v>
      </c>
      <c r="C259" t="s">
        <v>61</v>
      </c>
      <c r="D259">
        <v>59</v>
      </c>
      <c r="E259" s="17" t="s">
        <v>37</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342</v>
      </c>
      <c r="C260" t="s">
        <v>61</v>
      </c>
      <c r="D260">
        <v>144</v>
      </c>
      <c r="E260" s="17" t="s">
        <v>38</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343</v>
      </c>
      <c r="C261" t="s">
        <v>68</v>
      </c>
      <c r="D261">
        <v>113</v>
      </c>
      <c r="E261" s="17" t="s">
        <v>40</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344</v>
      </c>
      <c r="C262" t="s">
        <v>59</v>
      </c>
      <c r="D262">
        <v>154</v>
      </c>
      <c r="E262" s="17" t="s">
        <v>41</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345</v>
      </c>
      <c r="C263" t="s">
        <v>59</v>
      </c>
      <c r="D263">
        <v>58</v>
      </c>
      <c r="E263" s="17" t="s">
        <v>37</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346</v>
      </c>
      <c r="C264" t="s">
        <v>58</v>
      </c>
      <c r="D264">
        <v>63</v>
      </c>
      <c r="E264" s="17" t="s">
        <v>39</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347</v>
      </c>
      <c r="C265" t="s">
        <v>69</v>
      </c>
      <c r="D265">
        <v>59</v>
      </c>
      <c r="E265" s="17" t="s">
        <v>38</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348</v>
      </c>
      <c r="C266" t="s">
        <v>62</v>
      </c>
      <c r="D266">
        <v>129</v>
      </c>
      <c r="E266" s="17" t="s">
        <v>39</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349</v>
      </c>
      <c r="C267" t="s">
        <v>60</v>
      </c>
      <c r="D267">
        <v>101</v>
      </c>
      <c r="E267" s="17" t="s">
        <v>40</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350</v>
      </c>
      <c r="C268" t="s">
        <v>65</v>
      </c>
      <c r="D268">
        <v>154</v>
      </c>
      <c r="E268" s="17" t="s">
        <v>38</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351</v>
      </c>
      <c r="C269" t="s">
        <v>63</v>
      </c>
      <c r="D269">
        <v>131</v>
      </c>
      <c r="E269" s="17" t="s">
        <v>38</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352</v>
      </c>
      <c r="C270" t="s">
        <v>61</v>
      </c>
      <c r="D270">
        <v>111</v>
      </c>
      <c r="E270" s="17" t="s">
        <v>40</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353</v>
      </c>
      <c r="C271" t="s">
        <v>59</v>
      </c>
      <c r="D271">
        <v>142</v>
      </c>
      <c r="E271" s="17" t="s">
        <v>40</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354</v>
      </c>
      <c r="C272" t="s">
        <v>67</v>
      </c>
      <c r="D272">
        <v>93</v>
      </c>
      <c r="E272" s="17" t="s">
        <v>39</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355</v>
      </c>
      <c r="C273" t="s">
        <v>59</v>
      </c>
      <c r="D273">
        <v>125</v>
      </c>
      <c r="E273" s="17" t="s">
        <v>41</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356</v>
      </c>
      <c r="C274" t="s">
        <v>62</v>
      </c>
      <c r="D274">
        <v>76</v>
      </c>
      <c r="E274" s="17" t="s">
        <v>38</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357</v>
      </c>
      <c r="C275" t="s">
        <v>68</v>
      </c>
      <c r="D275">
        <v>69</v>
      </c>
      <c r="E275" s="17" t="s">
        <v>39</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358</v>
      </c>
      <c r="C276" t="s">
        <v>69</v>
      </c>
      <c r="D276">
        <v>149</v>
      </c>
      <c r="E276" s="17" t="s">
        <v>41</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359</v>
      </c>
      <c r="C277" t="s">
        <v>59</v>
      </c>
      <c r="D277">
        <v>57</v>
      </c>
      <c r="E277" s="17" t="s">
        <v>39</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360</v>
      </c>
      <c r="C278" t="s">
        <v>57</v>
      </c>
      <c r="D278">
        <v>113</v>
      </c>
      <c r="E278" s="17" t="s">
        <v>38</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361</v>
      </c>
      <c r="C279" t="s">
        <v>56</v>
      </c>
      <c r="D279">
        <v>160</v>
      </c>
      <c r="E279" s="17" t="s">
        <v>41</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362</v>
      </c>
      <c r="C280" t="s">
        <v>58</v>
      </c>
      <c r="D280">
        <v>158</v>
      </c>
      <c r="E280" s="17" t="s">
        <v>37</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363</v>
      </c>
      <c r="C281" t="s">
        <v>68</v>
      </c>
      <c r="D281">
        <v>77</v>
      </c>
      <c r="E281" s="17" t="s">
        <v>41</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364</v>
      </c>
      <c r="C282" t="s">
        <v>64</v>
      </c>
      <c r="D282">
        <v>118</v>
      </c>
      <c r="E282" s="17" t="s">
        <v>40</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365</v>
      </c>
      <c r="C283" t="s">
        <v>65</v>
      </c>
      <c r="D283">
        <v>75</v>
      </c>
      <c r="E283" s="17" t="s">
        <v>38</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366</v>
      </c>
      <c r="C284" t="s">
        <v>57</v>
      </c>
      <c r="D284">
        <v>103</v>
      </c>
      <c r="E284" s="17" t="s">
        <v>41</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367</v>
      </c>
      <c r="C285" t="s">
        <v>68</v>
      </c>
      <c r="D285">
        <v>116</v>
      </c>
      <c r="E285" s="17" t="s">
        <v>40</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368</v>
      </c>
      <c r="C286" t="s">
        <v>61</v>
      </c>
      <c r="D286">
        <v>61</v>
      </c>
      <c r="E286" s="17" t="s">
        <v>37</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369</v>
      </c>
      <c r="C287" t="s">
        <v>59</v>
      </c>
      <c r="D287">
        <v>126</v>
      </c>
      <c r="E287" s="17" t="s">
        <v>38</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370</v>
      </c>
      <c r="C288" t="s">
        <v>60</v>
      </c>
      <c r="D288">
        <v>141</v>
      </c>
      <c r="E288" s="17" t="s">
        <v>39</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371</v>
      </c>
      <c r="C289" t="s">
        <v>58</v>
      </c>
      <c r="D289">
        <v>95</v>
      </c>
      <c r="E289" s="17" t="s">
        <v>40</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372</v>
      </c>
      <c r="C290" t="s">
        <v>65</v>
      </c>
      <c r="D290">
        <v>39</v>
      </c>
      <c r="E290" s="17" t="s">
        <v>37</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373</v>
      </c>
      <c r="C291" t="s">
        <v>57</v>
      </c>
      <c r="D291">
        <v>127</v>
      </c>
      <c r="E291" s="17" t="s">
        <v>38</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374</v>
      </c>
      <c r="C292" t="s">
        <v>61</v>
      </c>
      <c r="D292">
        <v>78</v>
      </c>
      <c r="E292" s="17" t="s">
        <v>38</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375</v>
      </c>
      <c r="C293" t="s">
        <v>64</v>
      </c>
      <c r="D293">
        <v>40</v>
      </c>
      <c r="E293" s="17" t="s">
        <v>38</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376</v>
      </c>
      <c r="C294" t="s">
        <v>61</v>
      </c>
      <c r="D294">
        <v>56</v>
      </c>
      <c r="E294" s="17" t="s">
        <v>37</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377</v>
      </c>
      <c r="C295" t="s">
        <v>65</v>
      </c>
      <c r="D295">
        <v>59</v>
      </c>
      <c r="E295" s="17" t="s">
        <v>39</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378</v>
      </c>
      <c r="C296" t="s">
        <v>59</v>
      </c>
      <c r="D296">
        <v>30</v>
      </c>
      <c r="E296" s="17" t="s">
        <v>38</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379</v>
      </c>
      <c r="C297" t="s">
        <v>64</v>
      </c>
      <c r="D297">
        <v>63</v>
      </c>
      <c r="E297" s="17" t="s">
        <v>41</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380</v>
      </c>
      <c r="C298" t="s">
        <v>67</v>
      </c>
      <c r="D298">
        <v>56</v>
      </c>
      <c r="E298" s="17" t="s">
        <v>40</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381</v>
      </c>
      <c r="C299" t="s">
        <v>62</v>
      </c>
      <c r="D299">
        <v>95</v>
      </c>
      <c r="E299" s="17" t="s">
        <v>41</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382</v>
      </c>
      <c r="C300" t="s">
        <v>66</v>
      </c>
      <c r="D300">
        <v>128</v>
      </c>
      <c r="E300" s="17" t="s">
        <v>39</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383</v>
      </c>
      <c r="C301" t="s">
        <v>58</v>
      </c>
      <c r="D301">
        <v>49</v>
      </c>
      <c r="E301" s="17" t="s">
        <v>41</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384</v>
      </c>
      <c r="C302" t="s">
        <v>66</v>
      </c>
      <c r="D302">
        <v>89</v>
      </c>
      <c r="E302" s="17" t="s">
        <v>37</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385</v>
      </c>
      <c r="C303" t="s">
        <v>69</v>
      </c>
      <c r="D303">
        <v>87</v>
      </c>
      <c r="E303" s="17" t="s">
        <v>41</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386</v>
      </c>
      <c r="C304" t="s">
        <v>56</v>
      </c>
      <c r="D304">
        <v>60</v>
      </c>
      <c r="E304" s="17" t="s">
        <v>38</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387</v>
      </c>
      <c r="C305" t="s">
        <v>70</v>
      </c>
      <c r="D305">
        <v>42</v>
      </c>
      <c r="E305" s="17" t="s">
        <v>37</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388</v>
      </c>
      <c r="C306" t="s">
        <v>63</v>
      </c>
      <c r="D306">
        <v>99</v>
      </c>
      <c r="E306" s="17" t="s">
        <v>38</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389</v>
      </c>
      <c r="C307" t="s">
        <v>67</v>
      </c>
      <c r="D307">
        <v>20</v>
      </c>
      <c r="E307" s="17" t="s">
        <v>37</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390</v>
      </c>
      <c r="C308" t="s">
        <v>64</v>
      </c>
      <c r="D308">
        <v>65</v>
      </c>
      <c r="E308" s="17" t="s">
        <v>38</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391</v>
      </c>
      <c r="C309" t="s">
        <v>59</v>
      </c>
      <c r="D309">
        <v>71</v>
      </c>
      <c r="E309" s="17" t="s">
        <v>41</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392</v>
      </c>
      <c r="C310" t="s">
        <v>57</v>
      </c>
      <c r="D310">
        <v>95</v>
      </c>
      <c r="E310" s="17" t="s">
        <v>39</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393</v>
      </c>
      <c r="C311" t="s">
        <v>67</v>
      </c>
      <c r="D311">
        <v>81</v>
      </c>
      <c r="E311" s="17" t="s">
        <v>40</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394</v>
      </c>
      <c r="C312" t="s">
        <v>68</v>
      </c>
      <c r="D312">
        <v>137</v>
      </c>
      <c r="E312" s="17" t="s">
        <v>40</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395</v>
      </c>
      <c r="C313" t="s">
        <v>68</v>
      </c>
      <c r="D313">
        <v>40</v>
      </c>
      <c r="E313" s="17" t="s">
        <v>39</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396</v>
      </c>
      <c r="C314" t="s">
        <v>63</v>
      </c>
      <c r="D314">
        <v>111</v>
      </c>
      <c r="E314" s="17" t="s">
        <v>38</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397</v>
      </c>
      <c r="C315" t="s">
        <v>59</v>
      </c>
      <c r="D315">
        <v>106</v>
      </c>
      <c r="E315" s="17" t="s">
        <v>38</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398</v>
      </c>
      <c r="C316" t="s">
        <v>70</v>
      </c>
      <c r="D316">
        <v>133</v>
      </c>
      <c r="E316" s="17" t="s">
        <v>37</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399</v>
      </c>
      <c r="C317" t="s">
        <v>61</v>
      </c>
      <c r="D317">
        <v>38</v>
      </c>
      <c r="E317" s="17" t="s">
        <v>38</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400</v>
      </c>
      <c r="C318" t="s">
        <v>65</v>
      </c>
      <c r="D318">
        <v>130</v>
      </c>
      <c r="E318" s="17" t="s">
        <v>39</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401</v>
      </c>
      <c r="C319" t="s">
        <v>64</v>
      </c>
      <c r="D319">
        <v>23</v>
      </c>
      <c r="E319" s="17" t="s">
        <v>37</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402</v>
      </c>
      <c r="C320" t="s">
        <v>65</v>
      </c>
      <c r="D320">
        <v>124</v>
      </c>
      <c r="E320" s="17" t="s">
        <v>38</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403</v>
      </c>
      <c r="C321" t="s">
        <v>67</v>
      </c>
      <c r="D321">
        <v>107</v>
      </c>
      <c r="E321" s="17" t="s">
        <v>38</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404</v>
      </c>
      <c r="C322" t="s">
        <v>68</v>
      </c>
      <c r="D322">
        <v>60</v>
      </c>
      <c r="E322" s="17" t="s">
        <v>41</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405</v>
      </c>
      <c r="C323" t="s">
        <v>68</v>
      </c>
      <c r="D323">
        <v>158</v>
      </c>
      <c r="E323" s="17" t="s">
        <v>39</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406</v>
      </c>
      <c r="C324" t="s">
        <v>69</v>
      </c>
      <c r="D324">
        <v>110</v>
      </c>
      <c r="E324" s="17" t="s">
        <v>39</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407</v>
      </c>
      <c r="C325" t="s">
        <v>66</v>
      </c>
      <c r="D325">
        <v>70</v>
      </c>
      <c r="E325" s="17" t="s">
        <v>39</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408</v>
      </c>
      <c r="C326" t="s">
        <v>66</v>
      </c>
      <c r="D326">
        <v>150</v>
      </c>
      <c r="E326" s="17" t="s">
        <v>41</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409</v>
      </c>
      <c r="C327" t="s">
        <v>61</v>
      </c>
      <c r="D327">
        <v>36</v>
      </c>
      <c r="E327" s="17" t="s">
        <v>38</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410</v>
      </c>
      <c r="C328" t="s">
        <v>65</v>
      </c>
      <c r="D328">
        <v>74</v>
      </c>
      <c r="E328" s="17" t="s">
        <v>38</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411</v>
      </c>
      <c r="C329" t="s">
        <v>57</v>
      </c>
      <c r="D329">
        <v>75</v>
      </c>
      <c r="E329" s="17" t="s">
        <v>38</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412</v>
      </c>
      <c r="C330" t="s">
        <v>62</v>
      </c>
      <c r="D330">
        <v>70</v>
      </c>
      <c r="E330" s="17" t="s">
        <v>40</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413</v>
      </c>
      <c r="C331" t="s">
        <v>69</v>
      </c>
      <c r="D331">
        <v>23</v>
      </c>
      <c r="E331" s="17" t="s">
        <v>39</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414</v>
      </c>
      <c r="C332" t="s">
        <v>63</v>
      </c>
      <c r="D332">
        <v>104</v>
      </c>
      <c r="E332" s="17" t="s">
        <v>37</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415</v>
      </c>
      <c r="C333" t="s">
        <v>66</v>
      </c>
      <c r="D333">
        <v>95</v>
      </c>
      <c r="E333" s="17" t="s">
        <v>40</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416</v>
      </c>
      <c r="C334" t="s">
        <v>58</v>
      </c>
      <c r="D334">
        <v>49</v>
      </c>
      <c r="E334" s="17" t="s">
        <v>41</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417</v>
      </c>
      <c r="C335" t="s">
        <v>59</v>
      </c>
      <c r="D335">
        <v>8</v>
      </c>
      <c r="E335" s="17" t="s">
        <v>39</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418</v>
      </c>
      <c r="C336" t="s">
        <v>66</v>
      </c>
      <c r="D336">
        <v>157</v>
      </c>
      <c r="E336" s="17" t="s">
        <v>41</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419</v>
      </c>
      <c r="C337" t="s">
        <v>67</v>
      </c>
      <c r="D337">
        <v>74</v>
      </c>
      <c r="E337" s="17" t="s">
        <v>38</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420</v>
      </c>
      <c r="C338" t="s">
        <v>69</v>
      </c>
      <c r="D338">
        <v>72</v>
      </c>
      <c r="E338" s="17" t="s">
        <v>40</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421</v>
      </c>
      <c r="C339" t="s">
        <v>67</v>
      </c>
      <c r="D339">
        <v>79</v>
      </c>
      <c r="E339" s="17" t="s">
        <v>38</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422</v>
      </c>
      <c r="C340" t="s">
        <v>65</v>
      </c>
      <c r="D340">
        <v>23</v>
      </c>
      <c r="E340" s="17" t="s">
        <v>38</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423</v>
      </c>
      <c r="C341" t="s">
        <v>57</v>
      </c>
      <c r="D341">
        <v>69</v>
      </c>
      <c r="E341" s="17" t="s">
        <v>38</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424</v>
      </c>
      <c r="C342" t="s">
        <v>68</v>
      </c>
      <c r="D342">
        <v>64</v>
      </c>
      <c r="E342" s="17" t="s">
        <v>38</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425</v>
      </c>
      <c r="C343" t="s">
        <v>60</v>
      </c>
      <c r="D343">
        <v>47</v>
      </c>
      <c r="E343" s="17" t="s">
        <v>41</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426</v>
      </c>
      <c r="C344" t="s">
        <v>67</v>
      </c>
      <c r="D344">
        <v>55</v>
      </c>
      <c r="E344" s="17" t="s">
        <v>40</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427</v>
      </c>
      <c r="C345" t="s">
        <v>63</v>
      </c>
      <c r="D345">
        <v>104</v>
      </c>
      <c r="E345" s="17" t="s">
        <v>40</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428</v>
      </c>
      <c r="C346" t="s">
        <v>60</v>
      </c>
      <c r="D346">
        <v>116</v>
      </c>
      <c r="E346" s="17" t="s">
        <v>38</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429</v>
      </c>
      <c r="C347" t="s">
        <v>65</v>
      </c>
      <c r="D347">
        <v>99</v>
      </c>
      <c r="E347" s="17" t="s">
        <v>40</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430</v>
      </c>
      <c r="C348" t="s">
        <v>63</v>
      </c>
      <c r="D348">
        <v>84</v>
      </c>
      <c r="E348" s="17" t="s">
        <v>40</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431</v>
      </c>
      <c r="C349" t="s">
        <v>59</v>
      </c>
      <c r="D349">
        <v>159</v>
      </c>
      <c r="E349" s="17" t="s">
        <v>40</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432</v>
      </c>
      <c r="C350" t="s">
        <v>61</v>
      </c>
      <c r="D350">
        <v>25</v>
      </c>
      <c r="E350" s="17" t="s">
        <v>41</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433</v>
      </c>
      <c r="C351" t="s">
        <v>59</v>
      </c>
      <c r="D351">
        <v>53</v>
      </c>
      <c r="E351" s="17" t="s">
        <v>39</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434</v>
      </c>
      <c r="C352" t="s">
        <v>59</v>
      </c>
      <c r="D352">
        <v>89</v>
      </c>
      <c r="E352" s="17" t="s">
        <v>41</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435</v>
      </c>
      <c r="C353" t="s">
        <v>70</v>
      </c>
      <c r="D353">
        <v>73</v>
      </c>
      <c r="E353" s="17" t="s">
        <v>38</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436</v>
      </c>
      <c r="C354" t="s">
        <v>65</v>
      </c>
      <c r="D354">
        <v>50</v>
      </c>
      <c r="E354" s="17" t="s">
        <v>38</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437</v>
      </c>
      <c r="C355" t="s">
        <v>58</v>
      </c>
      <c r="D355">
        <v>98</v>
      </c>
      <c r="E355" s="17" t="s">
        <v>38</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438</v>
      </c>
      <c r="C356" t="s">
        <v>64</v>
      </c>
      <c r="D356">
        <v>114</v>
      </c>
      <c r="E356" s="17" t="s">
        <v>40</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439</v>
      </c>
      <c r="C357" t="s">
        <v>68</v>
      </c>
      <c r="D357">
        <v>67</v>
      </c>
      <c r="E357" s="17" t="s">
        <v>40</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440</v>
      </c>
      <c r="C358" t="s">
        <v>67</v>
      </c>
      <c r="D358">
        <v>91</v>
      </c>
      <c r="E358" s="17" t="s">
        <v>38</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441</v>
      </c>
      <c r="C359" t="s">
        <v>62</v>
      </c>
      <c r="D359">
        <v>67</v>
      </c>
      <c r="E359" s="17" t="s">
        <v>38</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442</v>
      </c>
      <c r="C360" t="s">
        <v>64</v>
      </c>
      <c r="D360">
        <v>139</v>
      </c>
      <c r="E360" s="17" t="s">
        <v>41</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443</v>
      </c>
      <c r="C361" t="s">
        <v>62</v>
      </c>
      <c r="D361">
        <v>102</v>
      </c>
      <c r="E361" s="17" t="s">
        <v>41</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444</v>
      </c>
      <c r="C362" t="s">
        <v>66</v>
      </c>
      <c r="D362">
        <v>108</v>
      </c>
      <c r="E362" s="17" t="s">
        <v>37</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445</v>
      </c>
      <c r="C363" t="s">
        <v>61</v>
      </c>
      <c r="D363">
        <v>66</v>
      </c>
      <c r="E363" s="17" t="s">
        <v>38</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446</v>
      </c>
      <c r="C364" t="s">
        <v>69</v>
      </c>
      <c r="D364">
        <v>85</v>
      </c>
      <c r="E364" s="17" t="s">
        <v>41</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447</v>
      </c>
      <c r="C365" t="s">
        <v>68</v>
      </c>
      <c r="D365">
        <v>55</v>
      </c>
      <c r="E365" s="17" t="s">
        <v>37</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448</v>
      </c>
      <c r="C366" t="s">
        <v>66</v>
      </c>
      <c r="D366">
        <v>17</v>
      </c>
      <c r="E366" s="17" t="s">
        <v>39</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449</v>
      </c>
      <c r="C367" t="s">
        <v>68</v>
      </c>
      <c r="D367">
        <v>128</v>
      </c>
      <c r="E367" s="17" t="s">
        <v>39</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450</v>
      </c>
      <c r="C368" t="s">
        <v>65</v>
      </c>
      <c r="D368">
        <v>45</v>
      </c>
      <c r="E368" s="17" t="s">
        <v>37</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451</v>
      </c>
      <c r="C369" t="s">
        <v>66</v>
      </c>
      <c r="D369">
        <v>41</v>
      </c>
      <c r="E369" s="17" t="s">
        <v>39</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452</v>
      </c>
      <c r="C370" t="s">
        <v>60</v>
      </c>
      <c r="D370">
        <v>49</v>
      </c>
      <c r="E370" s="17" t="s">
        <v>39</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453</v>
      </c>
      <c r="C371" t="s">
        <v>57</v>
      </c>
      <c r="D371">
        <v>21</v>
      </c>
      <c r="E371" s="17" t="s">
        <v>40</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454</v>
      </c>
      <c r="C372" t="s">
        <v>59</v>
      </c>
      <c r="D372">
        <v>133</v>
      </c>
      <c r="E372" s="17" t="s">
        <v>37</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455</v>
      </c>
      <c r="C373" t="s">
        <v>56</v>
      </c>
      <c r="D373">
        <v>135</v>
      </c>
      <c r="E373" s="17" t="s">
        <v>38</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456</v>
      </c>
      <c r="C374" t="s">
        <v>64</v>
      </c>
      <c r="D374">
        <v>69</v>
      </c>
      <c r="E374" s="17" t="s">
        <v>37</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457</v>
      </c>
      <c r="C375" t="s">
        <v>63</v>
      </c>
      <c r="D375">
        <v>110</v>
      </c>
      <c r="E375" s="17" t="s">
        <v>40</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458</v>
      </c>
      <c r="C376" t="s">
        <v>62</v>
      </c>
      <c r="D376">
        <v>64</v>
      </c>
      <c r="E376" s="17" t="s">
        <v>41</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459</v>
      </c>
      <c r="C377" t="s">
        <v>67</v>
      </c>
      <c r="D377">
        <v>105</v>
      </c>
      <c r="E377" s="17" t="s">
        <v>39</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460</v>
      </c>
      <c r="C378" t="s">
        <v>62</v>
      </c>
      <c r="D378">
        <v>165</v>
      </c>
      <c r="E378" s="17" t="s">
        <v>38</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461</v>
      </c>
      <c r="C379" t="s">
        <v>65</v>
      </c>
      <c r="D379">
        <v>125</v>
      </c>
      <c r="E379" s="17" t="s">
        <v>38</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462</v>
      </c>
      <c r="C380" t="s">
        <v>67</v>
      </c>
      <c r="D380">
        <v>88</v>
      </c>
      <c r="E380" s="17" t="s">
        <v>41</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463</v>
      </c>
      <c r="C381" t="s">
        <v>64</v>
      </c>
      <c r="D381">
        <v>6</v>
      </c>
      <c r="E381" s="17" t="s">
        <v>41</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464</v>
      </c>
      <c r="C382" t="s">
        <v>69</v>
      </c>
      <c r="D382">
        <v>69</v>
      </c>
      <c r="E382" s="17" t="s">
        <v>37</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465</v>
      </c>
      <c r="C383" t="s">
        <v>66</v>
      </c>
      <c r="D383">
        <v>107</v>
      </c>
      <c r="E383" s="17" t="s">
        <v>37</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466</v>
      </c>
      <c r="C384" t="s">
        <v>57</v>
      </c>
      <c r="D384">
        <v>90</v>
      </c>
      <c r="E384" s="17" t="s">
        <v>38</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467</v>
      </c>
      <c r="C385" t="s">
        <v>56</v>
      </c>
      <c r="D385">
        <v>120</v>
      </c>
      <c r="E385" s="17" t="s">
        <v>39</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468</v>
      </c>
      <c r="C386" t="s">
        <v>58</v>
      </c>
      <c r="D386">
        <v>47</v>
      </c>
      <c r="E386" s="17" t="s">
        <v>37</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469</v>
      </c>
      <c r="C387" t="s">
        <v>70</v>
      </c>
      <c r="D387">
        <v>60</v>
      </c>
      <c r="E387" s="17" t="s">
        <v>39</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470</v>
      </c>
      <c r="C388" t="s">
        <v>68</v>
      </c>
      <c r="D388">
        <v>64</v>
      </c>
      <c r="E388" s="17" t="s">
        <v>38</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471</v>
      </c>
      <c r="C389" t="s">
        <v>62</v>
      </c>
      <c r="D389">
        <v>62</v>
      </c>
      <c r="E389" s="17" t="s">
        <v>37</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472</v>
      </c>
      <c r="C390" t="s">
        <v>63</v>
      </c>
      <c r="D390">
        <v>88</v>
      </c>
      <c r="E390" s="17" t="s">
        <v>37</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473</v>
      </c>
      <c r="C391" t="s">
        <v>65</v>
      </c>
      <c r="D391">
        <v>116</v>
      </c>
      <c r="E391" s="17" t="s">
        <v>37</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474</v>
      </c>
      <c r="C392" t="s">
        <v>57</v>
      </c>
      <c r="D392">
        <v>82</v>
      </c>
      <c r="E392" s="17" t="s">
        <v>41</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475</v>
      </c>
      <c r="C393" t="s">
        <v>62</v>
      </c>
      <c r="D393">
        <v>99</v>
      </c>
      <c r="E393" s="17" t="s">
        <v>38</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476</v>
      </c>
      <c r="C394" t="s">
        <v>62</v>
      </c>
      <c r="D394">
        <v>55</v>
      </c>
      <c r="E394" s="17" t="s">
        <v>41</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477</v>
      </c>
      <c r="C395" t="s">
        <v>68</v>
      </c>
      <c r="D395">
        <v>61</v>
      </c>
      <c r="E395" s="17" t="s">
        <v>39</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478</v>
      </c>
      <c r="C396" t="s">
        <v>65</v>
      </c>
      <c r="D396">
        <v>36</v>
      </c>
      <c r="E396" s="17" t="s">
        <v>40</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479</v>
      </c>
      <c r="C397" t="s">
        <v>57</v>
      </c>
      <c r="D397">
        <v>123</v>
      </c>
      <c r="E397" s="17" t="s">
        <v>37</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480</v>
      </c>
      <c r="C398" t="s">
        <v>60</v>
      </c>
      <c r="D398">
        <v>24</v>
      </c>
      <c r="E398" s="17" t="s">
        <v>39</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481</v>
      </c>
      <c r="C399" t="s">
        <v>57</v>
      </c>
      <c r="D399">
        <v>43</v>
      </c>
      <c r="E399" s="17" t="s">
        <v>37</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482</v>
      </c>
      <c r="C400" t="s">
        <v>70</v>
      </c>
      <c r="D400">
        <v>95</v>
      </c>
      <c r="E400" s="17" t="s">
        <v>38</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483</v>
      </c>
      <c r="C401" t="s">
        <v>62</v>
      </c>
      <c r="D401">
        <v>53</v>
      </c>
      <c r="E401" s="17" t="s">
        <v>37</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484</v>
      </c>
      <c r="C402" t="s">
        <v>57</v>
      </c>
      <c r="D402">
        <v>113</v>
      </c>
      <c r="E402" s="17" t="s">
        <v>37</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485</v>
      </c>
      <c r="C403" t="s">
        <v>62</v>
      </c>
      <c r="D403">
        <v>89</v>
      </c>
      <c r="E403" s="17" t="s">
        <v>40</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486</v>
      </c>
      <c r="C404" t="s">
        <v>63</v>
      </c>
      <c r="D404">
        <v>84</v>
      </c>
      <c r="E404" s="17" t="s">
        <v>41</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487</v>
      </c>
      <c r="C405" t="s">
        <v>60</v>
      </c>
      <c r="D405">
        <v>130</v>
      </c>
      <c r="E405" s="17" t="s">
        <v>37</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488</v>
      </c>
      <c r="C406" t="s">
        <v>70</v>
      </c>
      <c r="D406">
        <v>163</v>
      </c>
      <c r="E406" s="17" t="s">
        <v>40</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489</v>
      </c>
      <c r="C407" t="s">
        <v>69</v>
      </c>
      <c r="D407">
        <v>127</v>
      </c>
      <c r="E407" s="17" t="s">
        <v>37</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490</v>
      </c>
      <c r="C408" t="s">
        <v>57</v>
      </c>
      <c r="D408">
        <v>50</v>
      </c>
      <c r="E408" s="17" t="s">
        <v>37</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491</v>
      </c>
      <c r="C409" t="s">
        <v>61</v>
      </c>
      <c r="D409">
        <v>88</v>
      </c>
      <c r="E409" s="17" t="s">
        <v>39</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492</v>
      </c>
      <c r="C410" t="s">
        <v>57</v>
      </c>
      <c r="D410">
        <v>139</v>
      </c>
      <c r="E410" s="17" t="s">
        <v>38</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493</v>
      </c>
      <c r="C411" t="s">
        <v>70</v>
      </c>
      <c r="D411">
        <v>111</v>
      </c>
      <c r="E411" s="17" t="s">
        <v>37</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494</v>
      </c>
      <c r="C412" t="s">
        <v>67</v>
      </c>
      <c r="D412">
        <v>115</v>
      </c>
      <c r="E412" s="17" t="s">
        <v>38</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495</v>
      </c>
      <c r="C413" t="s">
        <v>62</v>
      </c>
      <c r="D413">
        <v>26</v>
      </c>
      <c r="E413" s="17" t="s">
        <v>40</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496</v>
      </c>
      <c r="C414" t="s">
        <v>63</v>
      </c>
      <c r="D414">
        <v>131</v>
      </c>
      <c r="E414" s="17" t="s">
        <v>39</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497</v>
      </c>
      <c r="C415" t="s">
        <v>67</v>
      </c>
      <c r="D415">
        <v>27</v>
      </c>
      <c r="E415" s="17" t="s">
        <v>39</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498</v>
      </c>
      <c r="C416" t="s">
        <v>59</v>
      </c>
      <c r="D416">
        <v>75</v>
      </c>
      <c r="E416" s="17" t="s">
        <v>37</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499</v>
      </c>
      <c r="C417" t="s">
        <v>68</v>
      </c>
      <c r="D417">
        <v>123</v>
      </c>
      <c r="E417" s="17" t="s">
        <v>39</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500</v>
      </c>
      <c r="C418" t="s">
        <v>56</v>
      </c>
      <c r="D418">
        <v>129</v>
      </c>
      <c r="E418" s="17" t="s">
        <v>39</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501</v>
      </c>
      <c r="C419" t="s">
        <v>59</v>
      </c>
      <c r="D419">
        <v>124</v>
      </c>
      <c r="E419" s="17" t="s">
        <v>38</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502</v>
      </c>
      <c r="C420" t="s">
        <v>67</v>
      </c>
      <c r="D420">
        <v>108</v>
      </c>
      <c r="E420" s="17" t="s">
        <v>38</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503</v>
      </c>
      <c r="C421" t="s">
        <v>58</v>
      </c>
      <c r="D421">
        <v>15</v>
      </c>
      <c r="E421" s="17" t="s">
        <v>38</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504</v>
      </c>
      <c r="C422" t="s">
        <v>67</v>
      </c>
      <c r="D422">
        <v>66</v>
      </c>
      <c r="E422" s="17" t="s">
        <v>38</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505</v>
      </c>
      <c r="C423" t="s">
        <v>61</v>
      </c>
      <c r="D423">
        <v>126</v>
      </c>
      <c r="E423" s="17" t="s">
        <v>37</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506</v>
      </c>
      <c r="C424" t="s">
        <v>59</v>
      </c>
      <c r="D424">
        <v>26</v>
      </c>
      <c r="E424" s="17" t="s">
        <v>41</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507</v>
      </c>
      <c r="C425" t="s">
        <v>60</v>
      </c>
      <c r="D425">
        <v>105</v>
      </c>
      <c r="E425" s="17" t="s">
        <v>37</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508</v>
      </c>
      <c r="C426" t="s">
        <v>60</v>
      </c>
      <c r="D426">
        <v>31</v>
      </c>
      <c r="E426" s="17" t="s">
        <v>37</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509</v>
      </c>
      <c r="C427" t="s">
        <v>67</v>
      </c>
      <c r="D427">
        <v>109</v>
      </c>
      <c r="E427" s="17" t="s">
        <v>38</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510</v>
      </c>
      <c r="C428" t="s">
        <v>56</v>
      </c>
      <c r="D428">
        <v>113</v>
      </c>
      <c r="E428" s="17" t="s">
        <v>40</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511</v>
      </c>
      <c r="C429" t="s">
        <v>61</v>
      </c>
      <c r="D429">
        <v>101</v>
      </c>
      <c r="E429" s="17" t="s">
        <v>41</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512</v>
      </c>
      <c r="C430" t="s">
        <v>70</v>
      </c>
      <c r="D430">
        <v>156</v>
      </c>
      <c r="E430" s="17" t="s">
        <v>41</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513</v>
      </c>
      <c r="C431" t="s">
        <v>67</v>
      </c>
      <c r="D431">
        <v>145</v>
      </c>
      <c r="E431" s="17" t="s">
        <v>40</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514</v>
      </c>
      <c r="C432" t="s">
        <v>68</v>
      </c>
      <c r="D432">
        <v>36</v>
      </c>
      <c r="E432" s="17" t="s">
        <v>38</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515</v>
      </c>
      <c r="C433" t="s">
        <v>60</v>
      </c>
      <c r="D433">
        <v>135</v>
      </c>
      <c r="E433" s="17" t="s">
        <v>39</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516</v>
      </c>
      <c r="C434" t="s">
        <v>61</v>
      </c>
      <c r="D434">
        <v>81</v>
      </c>
      <c r="E434" s="17" t="s">
        <v>38</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517</v>
      </c>
      <c r="C435" t="s">
        <v>61</v>
      </c>
      <c r="D435">
        <v>81</v>
      </c>
      <c r="E435" s="17" t="s">
        <v>40</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518</v>
      </c>
      <c r="C436" t="s">
        <v>69</v>
      </c>
      <c r="D436">
        <v>93</v>
      </c>
      <c r="E436" s="17" t="s">
        <v>37</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519</v>
      </c>
      <c r="C437" t="s">
        <v>67</v>
      </c>
      <c r="D437">
        <v>14</v>
      </c>
      <c r="E437" s="17" t="s">
        <v>38</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520</v>
      </c>
      <c r="C438" t="s">
        <v>60</v>
      </c>
      <c r="D438">
        <v>95</v>
      </c>
      <c r="E438" s="17" t="s">
        <v>40</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521</v>
      </c>
      <c r="C439" t="s">
        <v>69</v>
      </c>
      <c r="D439">
        <v>81</v>
      </c>
      <c r="E439" s="17" t="s">
        <v>40</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522</v>
      </c>
      <c r="C440" t="s">
        <v>62</v>
      </c>
      <c r="D440">
        <v>60</v>
      </c>
      <c r="E440" s="17" t="s">
        <v>38</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523</v>
      </c>
      <c r="C441" t="s">
        <v>64</v>
      </c>
      <c r="D441">
        <v>137</v>
      </c>
      <c r="E441" s="17" t="s">
        <v>37</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524</v>
      </c>
      <c r="C442" t="s">
        <v>57</v>
      </c>
      <c r="D442">
        <v>112</v>
      </c>
      <c r="E442" s="17" t="s">
        <v>39</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525</v>
      </c>
      <c r="C443" t="s">
        <v>60</v>
      </c>
      <c r="D443">
        <v>76</v>
      </c>
      <c r="E443" s="17" t="s">
        <v>41</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526</v>
      </c>
      <c r="C444" t="s">
        <v>65</v>
      </c>
      <c r="D444">
        <v>73</v>
      </c>
      <c r="E444" s="17" t="s">
        <v>38</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527</v>
      </c>
      <c r="C445" t="s">
        <v>63</v>
      </c>
      <c r="D445">
        <v>119</v>
      </c>
      <c r="E445" s="17" t="s">
        <v>37</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528</v>
      </c>
      <c r="C446" t="s">
        <v>56</v>
      </c>
      <c r="D446">
        <v>135</v>
      </c>
      <c r="E446" s="17" t="s">
        <v>40</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529</v>
      </c>
      <c r="C447" t="s">
        <v>64</v>
      </c>
      <c r="D447">
        <v>41</v>
      </c>
      <c r="E447" s="17" t="s">
        <v>39</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530</v>
      </c>
      <c r="C448" t="s">
        <v>67</v>
      </c>
      <c r="D448">
        <v>35</v>
      </c>
      <c r="E448" s="17" t="s">
        <v>40</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531</v>
      </c>
      <c r="C449" t="s">
        <v>56</v>
      </c>
      <c r="D449">
        <v>96</v>
      </c>
      <c r="E449" s="17" t="s">
        <v>38</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532</v>
      </c>
      <c r="C450" t="s">
        <v>69</v>
      </c>
      <c r="D450">
        <v>61</v>
      </c>
      <c r="E450" s="17" t="s">
        <v>39</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533</v>
      </c>
      <c r="C451" t="s">
        <v>56</v>
      </c>
      <c r="D451">
        <v>91</v>
      </c>
      <c r="E451" s="17" t="s">
        <v>39</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534</v>
      </c>
      <c r="C452" t="s">
        <v>66</v>
      </c>
      <c r="D452">
        <v>30</v>
      </c>
      <c r="E452" s="17" t="s">
        <v>39</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535</v>
      </c>
      <c r="C453" t="s">
        <v>62</v>
      </c>
      <c r="D453">
        <v>111</v>
      </c>
      <c r="E453" s="17" t="s">
        <v>37</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536</v>
      </c>
      <c r="C454" t="s">
        <v>69</v>
      </c>
      <c r="D454">
        <v>81</v>
      </c>
      <c r="E454" s="17" t="s">
        <v>38</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537</v>
      </c>
      <c r="C455" t="s">
        <v>60</v>
      </c>
      <c r="D455">
        <v>40</v>
      </c>
      <c r="E455" s="17" t="s">
        <v>40</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538</v>
      </c>
      <c r="C456" t="s">
        <v>62</v>
      </c>
      <c r="D456">
        <v>143</v>
      </c>
      <c r="E456" s="17" t="s">
        <v>40</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539</v>
      </c>
      <c r="C457" t="s">
        <v>60</v>
      </c>
      <c r="D457">
        <v>70</v>
      </c>
      <c r="E457" s="17" t="s">
        <v>40</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540</v>
      </c>
      <c r="C458" t="s">
        <v>65</v>
      </c>
      <c r="D458">
        <v>137</v>
      </c>
      <c r="E458" s="17" t="s">
        <v>40</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541</v>
      </c>
      <c r="C459" t="s">
        <v>56</v>
      </c>
      <c r="D459">
        <v>52</v>
      </c>
      <c r="E459" s="17" t="s">
        <v>38</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542</v>
      </c>
      <c r="C460" t="s">
        <v>57</v>
      </c>
      <c r="D460">
        <v>31</v>
      </c>
      <c r="E460" s="17" t="s">
        <v>37</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543</v>
      </c>
      <c r="C461" t="s">
        <v>56</v>
      </c>
      <c r="D461">
        <v>114</v>
      </c>
      <c r="E461" s="17" t="s">
        <v>39</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544</v>
      </c>
      <c r="C462" t="s">
        <v>65</v>
      </c>
      <c r="D462">
        <v>73</v>
      </c>
      <c r="E462" s="17" t="s">
        <v>41</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545</v>
      </c>
      <c r="C463" t="s">
        <v>69</v>
      </c>
      <c r="D463">
        <v>25</v>
      </c>
      <c r="E463" s="17" t="s">
        <v>37</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546</v>
      </c>
      <c r="C464" t="s">
        <v>58</v>
      </c>
      <c r="D464">
        <v>44</v>
      </c>
      <c r="E464" s="17" t="s">
        <v>39</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547</v>
      </c>
      <c r="C465" t="s">
        <v>68</v>
      </c>
      <c r="D465">
        <v>34</v>
      </c>
      <c r="E465" s="17" t="s">
        <v>38</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548</v>
      </c>
      <c r="C466" t="s">
        <v>62</v>
      </c>
      <c r="D466">
        <v>89</v>
      </c>
      <c r="E466" s="17" t="s">
        <v>40</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549</v>
      </c>
      <c r="C467" t="s">
        <v>63</v>
      </c>
      <c r="D467">
        <v>54</v>
      </c>
      <c r="E467" s="17" t="s">
        <v>37</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550</v>
      </c>
      <c r="C468" t="s">
        <v>67</v>
      </c>
      <c r="D468">
        <v>25</v>
      </c>
      <c r="E468" s="17" t="s">
        <v>37</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551</v>
      </c>
      <c r="C469" t="s">
        <v>64</v>
      </c>
      <c r="D469">
        <v>91</v>
      </c>
      <c r="E469" s="17" t="s">
        <v>40</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552</v>
      </c>
      <c r="C470" t="s">
        <v>58</v>
      </c>
      <c r="D470">
        <v>144</v>
      </c>
      <c r="E470" s="17" t="s">
        <v>39</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553</v>
      </c>
      <c r="C471" t="s">
        <v>64</v>
      </c>
      <c r="D471">
        <v>81</v>
      </c>
      <c r="E471" s="17" t="s">
        <v>38</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554</v>
      </c>
      <c r="C472" t="s">
        <v>66</v>
      </c>
      <c r="D472">
        <v>92</v>
      </c>
      <c r="E472" s="17" t="s">
        <v>37</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555</v>
      </c>
      <c r="C473" t="s">
        <v>67</v>
      </c>
      <c r="D473">
        <v>115</v>
      </c>
      <c r="E473" s="17" t="s">
        <v>40</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556</v>
      </c>
      <c r="C474" t="s">
        <v>61</v>
      </c>
      <c r="D474">
        <v>56</v>
      </c>
      <c r="E474" s="17" t="s">
        <v>40</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557</v>
      </c>
      <c r="C475" t="s">
        <v>57</v>
      </c>
      <c r="D475">
        <v>154</v>
      </c>
      <c r="E475" s="17" t="s">
        <v>37</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558</v>
      </c>
      <c r="C476" t="s">
        <v>62</v>
      </c>
      <c r="D476">
        <v>51</v>
      </c>
      <c r="E476" s="17" t="s">
        <v>40</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559</v>
      </c>
      <c r="C477" t="s">
        <v>68</v>
      </c>
      <c r="D477">
        <v>21</v>
      </c>
      <c r="E477" s="17" t="s">
        <v>38</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560</v>
      </c>
      <c r="C478" t="s">
        <v>67</v>
      </c>
      <c r="D478">
        <v>80</v>
      </c>
      <c r="E478" s="17" t="s">
        <v>40</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561</v>
      </c>
      <c r="C479" t="s">
        <v>62</v>
      </c>
      <c r="D479">
        <v>139</v>
      </c>
      <c r="E479" s="17" t="s">
        <v>37</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562</v>
      </c>
      <c r="C480" t="s">
        <v>60</v>
      </c>
      <c r="D480">
        <v>50</v>
      </c>
      <c r="E480" s="17" t="s">
        <v>38</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563</v>
      </c>
      <c r="C481" t="s">
        <v>67</v>
      </c>
      <c r="D481">
        <v>88</v>
      </c>
      <c r="E481" s="17" t="s">
        <v>40</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564</v>
      </c>
      <c r="C482" t="s">
        <v>63</v>
      </c>
      <c r="D482">
        <v>19</v>
      </c>
      <c r="E482" s="17" t="s">
        <v>39</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565</v>
      </c>
      <c r="C483" t="s">
        <v>69</v>
      </c>
      <c r="D483">
        <v>104</v>
      </c>
      <c r="E483" s="17" t="s">
        <v>39</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566</v>
      </c>
      <c r="C484" t="s">
        <v>57</v>
      </c>
      <c r="D484">
        <v>67</v>
      </c>
      <c r="E484" s="17" t="s">
        <v>37</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567</v>
      </c>
      <c r="C485" t="s">
        <v>59</v>
      </c>
      <c r="D485">
        <v>107</v>
      </c>
      <c r="E485" s="17" t="s">
        <v>39</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568</v>
      </c>
      <c r="C486" t="s">
        <v>59</v>
      </c>
      <c r="D486">
        <v>93</v>
      </c>
      <c r="E486" s="17" t="s">
        <v>39</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569</v>
      </c>
      <c r="C487" t="s">
        <v>59</v>
      </c>
      <c r="D487">
        <v>117</v>
      </c>
      <c r="E487" s="17" t="s">
        <v>37</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570</v>
      </c>
      <c r="C488" t="s">
        <v>60</v>
      </c>
      <c r="D488">
        <v>76</v>
      </c>
      <c r="E488" s="17" t="s">
        <v>40</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571</v>
      </c>
      <c r="C489" t="s">
        <v>63</v>
      </c>
      <c r="D489">
        <v>64</v>
      </c>
      <c r="E489" s="17" t="s">
        <v>39</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572</v>
      </c>
      <c r="C490" t="s">
        <v>58</v>
      </c>
      <c r="D490">
        <v>33</v>
      </c>
      <c r="E490" s="17" t="s">
        <v>39</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573</v>
      </c>
      <c r="C491" t="s">
        <v>59</v>
      </c>
      <c r="D491">
        <v>115</v>
      </c>
      <c r="E491" s="17" t="s">
        <v>37</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574</v>
      </c>
      <c r="C492" t="s">
        <v>70</v>
      </c>
      <c r="D492">
        <v>155</v>
      </c>
      <c r="E492" s="17" t="s">
        <v>40</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575</v>
      </c>
      <c r="C493" t="s">
        <v>57</v>
      </c>
      <c r="D493">
        <v>117</v>
      </c>
      <c r="E493" s="17" t="s">
        <v>40</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576</v>
      </c>
      <c r="C494" t="s">
        <v>62</v>
      </c>
      <c r="D494">
        <v>63</v>
      </c>
      <c r="E494" s="17" t="s">
        <v>40</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577</v>
      </c>
      <c r="C495" t="s">
        <v>63</v>
      </c>
      <c r="D495">
        <v>59</v>
      </c>
      <c r="E495" s="17" t="s">
        <v>41</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578</v>
      </c>
      <c r="C496" t="s">
        <v>68</v>
      </c>
      <c r="D496">
        <v>133</v>
      </c>
      <c r="E496" s="17" t="s">
        <v>39</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579</v>
      </c>
      <c r="C497" t="s">
        <v>66</v>
      </c>
      <c r="D497">
        <v>101</v>
      </c>
      <c r="E497" s="17" t="s">
        <v>38</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580</v>
      </c>
      <c r="C498" t="s">
        <v>64</v>
      </c>
      <c r="D498">
        <v>151</v>
      </c>
      <c r="E498" s="17" t="s">
        <v>40</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581</v>
      </c>
      <c r="C499" t="s">
        <v>58</v>
      </c>
      <c r="D499">
        <v>146</v>
      </c>
      <c r="E499" s="17" t="s">
        <v>39</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582</v>
      </c>
      <c r="C500" t="s">
        <v>62</v>
      </c>
      <c r="D500">
        <v>148</v>
      </c>
      <c r="E500" s="17" t="s">
        <v>39</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583</v>
      </c>
      <c r="C501" t="s">
        <v>64</v>
      </c>
      <c r="D501">
        <v>81</v>
      </c>
      <c r="E501" s="17" t="s">
        <v>39</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584</v>
      </c>
      <c r="C502" t="s">
        <v>69</v>
      </c>
      <c r="D502">
        <v>115</v>
      </c>
      <c r="E502" s="17" t="s">
        <v>39</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585</v>
      </c>
      <c r="C503" t="s">
        <v>69</v>
      </c>
      <c r="D503">
        <v>117</v>
      </c>
      <c r="E503" s="17" t="s">
        <v>40</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586</v>
      </c>
      <c r="C504" t="s">
        <v>66</v>
      </c>
      <c r="D504">
        <v>110</v>
      </c>
      <c r="E504" s="17" t="s">
        <v>37</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587</v>
      </c>
      <c r="C505" t="s">
        <v>60</v>
      </c>
      <c r="D505">
        <v>103</v>
      </c>
      <c r="E505" s="17" t="s">
        <v>41</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588</v>
      </c>
      <c r="C506" t="s">
        <v>70</v>
      </c>
      <c r="D506">
        <v>45</v>
      </c>
      <c r="E506" s="17" t="s">
        <v>41</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589</v>
      </c>
      <c r="C507" t="s">
        <v>66</v>
      </c>
      <c r="D507">
        <v>110</v>
      </c>
      <c r="E507" s="17" t="s">
        <v>38</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590</v>
      </c>
      <c r="C508" t="s">
        <v>63</v>
      </c>
      <c r="D508">
        <v>43</v>
      </c>
      <c r="E508" s="17" t="s">
        <v>37</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591</v>
      </c>
      <c r="C509" t="s">
        <v>66</v>
      </c>
      <c r="D509">
        <v>104</v>
      </c>
      <c r="E509" s="17" t="s">
        <v>40</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592</v>
      </c>
      <c r="C510" t="s">
        <v>66</v>
      </c>
      <c r="D510">
        <v>101</v>
      </c>
      <c r="E510" s="17" t="s">
        <v>40</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593</v>
      </c>
      <c r="C511" t="s">
        <v>56</v>
      </c>
      <c r="D511">
        <v>55</v>
      </c>
      <c r="E511" s="17" t="s">
        <v>37</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594</v>
      </c>
      <c r="C512" t="s">
        <v>64</v>
      </c>
      <c r="D512">
        <v>40</v>
      </c>
      <c r="E512" s="17" t="s">
        <v>41</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595</v>
      </c>
      <c r="C513" t="s">
        <v>63</v>
      </c>
      <c r="D513">
        <v>122</v>
      </c>
      <c r="E513" s="17" t="s">
        <v>39</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596</v>
      </c>
      <c r="C514" t="s">
        <v>58</v>
      </c>
      <c r="D514">
        <v>98</v>
      </c>
      <c r="E514" s="17" t="s">
        <v>40</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597</v>
      </c>
      <c r="C515" t="s">
        <v>69</v>
      </c>
      <c r="D515">
        <v>110</v>
      </c>
      <c r="E515" s="17" t="s">
        <v>41</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598</v>
      </c>
      <c r="C516" t="s">
        <v>69</v>
      </c>
      <c r="D516">
        <v>62</v>
      </c>
      <c r="E516" s="17" t="s">
        <v>37</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599</v>
      </c>
      <c r="C517" t="s">
        <v>63</v>
      </c>
      <c r="D517">
        <v>134</v>
      </c>
      <c r="E517" s="17" t="s">
        <v>39</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600</v>
      </c>
      <c r="C518" t="s">
        <v>65</v>
      </c>
      <c r="D518">
        <v>94</v>
      </c>
      <c r="E518" s="17" t="s">
        <v>38</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601</v>
      </c>
      <c r="C519" t="s">
        <v>61</v>
      </c>
      <c r="D519">
        <v>63</v>
      </c>
      <c r="E519" s="17" t="s">
        <v>41</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602</v>
      </c>
      <c r="C520" t="s">
        <v>68</v>
      </c>
      <c r="D520">
        <v>95</v>
      </c>
      <c r="E520" s="17" t="s">
        <v>39</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603</v>
      </c>
      <c r="C521" t="s">
        <v>63</v>
      </c>
      <c r="D521">
        <v>106</v>
      </c>
      <c r="E521" s="17" t="s">
        <v>39</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604</v>
      </c>
      <c r="C522" t="s">
        <v>70</v>
      </c>
      <c r="D522">
        <v>94</v>
      </c>
      <c r="E522" s="17" t="s">
        <v>38</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605</v>
      </c>
      <c r="C523" t="s">
        <v>70</v>
      </c>
      <c r="D523">
        <v>51</v>
      </c>
      <c r="E523" s="17" t="s">
        <v>38</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606</v>
      </c>
      <c r="C524" t="s">
        <v>62</v>
      </c>
      <c r="D524">
        <v>39</v>
      </c>
      <c r="E524" s="17" t="s">
        <v>38</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607</v>
      </c>
      <c r="C525" t="s">
        <v>64</v>
      </c>
      <c r="D525">
        <v>111</v>
      </c>
      <c r="E525" s="17" t="s">
        <v>39</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608</v>
      </c>
      <c r="C526" t="s">
        <v>59</v>
      </c>
      <c r="D526">
        <v>141</v>
      </c>
      <c r="E526" s="17" t="s">
        <v>37</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609</v>
      </c>
      <c r="C527" t="s">
        <v>61</v>
      </c>
      <c r="D527">
        <v>147</v>
      </c>
      <c r="E527" s="17" t="s">
        <v>39</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610</v>
      </c>
      <c r="C528" t="s">
        <v>65</v>
      </c>
      <c r="D528">
        <v>49</v>
      </c>
      <c r="E528" s="17" t="s">
        <v>38</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611</v>
      </c>
      <c r="C529" t="s">
        <v>67</v>
      </c>
      <c r="D529">
        <v>75</v>
      </c>
      <c r="E529" s="17" t="s">
        <v>39</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612</v>
      </c>
      <c r="C530" t="s">
        <v>59</v>
      </c>
      <c r="D530">
        <v>48</v>
      </c>
      <c r="E530" s="17" t="s">
        <v>37</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613</v>
      </c>
      <c r="C531" t="s">
        <v>69</v>
      </c>
      <c r="D531">
        <v>48</v>
      </c>
      <c r="E531" s="17" t="s">
        <v>37</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614</v>
      </c>
      <c r="C532" t="s">
        <v>57</v>
      </c>
      <c r="D532">
        <v>138</v>
      </c>
      <c r="E532" s="17" t="s">
        <v>38</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615</v>
      </c>
      <c r="C533" t="s">
        <v>68</v>
      </c>
      <c r="D533">
        <v>144</v>
      </c>
      <c r="E533" s="17" t="s">
        <v>38</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616</v>
      </c>
      <c r="C534" t="s">
        <v>66</v>
      </c>
      <c r="D534">
        <v>119</v>
      </c>
      <c r="E534" s="17" t="s">
        <v>39</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617</v>
      </c>
      <c r="C535" t="s">
        <v>57</v>
      </c>
      <c r="D535">
        <v>101</v>
      </c>
      <c r="E535" s="17" t="s">
        <v>37</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618</v>
      </c>
      <c r="C536" t="s">
        <v>68</v>
      </c>
      <c r="D536">
        <v>59</v>
      </c>
      <c r="E536" s="17" t="s">
        <v>39</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619</v>
      </c>
      <c r="C537" t="s">
        <v>64</v>
      </c>
      <c r="D537">
        <v>125</v>
      </c>
      <c r="E537" s="17" t="s">
        <v>41</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620</v>
      </c>
      <c r="C538" t="s">
        <v>63</v>
      </c>
      <c r="D538">
        <v>147</v>
      </c>
      <c r="E538" s="17" t="s">
        <v>39</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621</v>
      </c>
      <c r="C539" t="s">
        <v>60</v>
      </c>
      <c r="D539">
        <v>76</v>
      </c>
      <c r="E539" s="17" t="s">
        <v>39</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622</v>
      </c>
      <c r="C540" t="s">
        <v>61</v>
      </c>
      <c r="D540">
        <v>99</v>
      </c>
      <c r="E540" s="17" t="s">
        <v>37</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623</v>
      </c>
      <c r="C541" t="s">
        <v>62</v>
      </c>
      <c r="D541">
        <v>111</v>
      </c>
      <c r="E541" s="17" t="s">
        <v>40</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624</v>
      </c>
      <c r="C542" t="s">
        <v>58</v>
      </c>
      <c r="D542">
        <v>147</v>
      </c>
      <c r="E542" s="17" t="s">
        <v>41</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625</v>
      </c>
      <c r="C543" t="s">
        <v>56</v>
      </c>
      <c r="D543">
        <v>141</v>
      </c>
      <c r="E543" s="17" t="s">
        <v>37</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626</v>
      </c>
      <c r="C544" t="s">
        <v>60</v>
      </c>
      <c r="D544">
        <v>71</v>
      </c>
      <c r="E544" s="17" t="s">
        <v>39</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627</v>
      </c>
      <c r="C545" t="s">
        <v>60</v>
      </c>
      <c r="D545">
        <v>121</v>
      </c>
      <c r="E545" s="17" t="s">
        <v>41</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628</v>
      </c>
      <c r="C546" t="s">
        <v>60</v>
      </c>
      <c r="D546">
        <v>60</v>
      </c>
      <c r="E546" s="17" t="s">
        <v>41</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629</v>
      </c>
      <c r="C547" t="s">
        <v>65</v>
      </c>
      <c r="D547">
        <v>158</v>
      </c>
      <c r="E547" s="17" t="s">
        <v>37</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630</v>
      </c>
      <c r="C548" t="s">
        <v>63</v>
      </c>
      <c r="D548">
        <v>159</v>
      </c>
      <c r="E548" s="17" t="s">
        <v>38</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631</v>
      </c>
      <c r="C549" t="s">
        <v>57</v>
      </c>
      <c r="D549">
        <v>70</v>
      </c>
      <c r="E549" s="17" t="s">
        <v>39</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632</v>
      </c>
      <c r="C550" t="s">
        <v>59</v>
      </c>
      <c r="D550">
        <v>78</v>
      </c>
      <c r="E550" s="17" t="s">
        <v>40</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633</v>
      </c>
      <c r="C551" t="s">
        <v>58</v>
      </c>
      <c r="D551">
        <v>103</v>
      </c>
      <c r="E551" s="17" t="s">
        <v>39</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634</v>
      </c>
      <c r="C552" t="s">
        <v>67</v>
      </c>
      <c r="D552">
        <v>108</v>
      </c>
      <c r="E552" s="17" t="s">
        <v>37</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635</v>
      </c>
      <c r="C553" t="s">
        <v>67</v>
      </c>
      <c r="D553">
        <v>44</v>
      </c>
      <c r="E553" s="17" t="s">
        <v>41</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636</v>
      </c>
      <c r="C554" t="s">
        <v>59</v>
      </c>
      <c r="D554">
        <v>127</v>
      </c>
      <c r="E554" s="17" t="s">
        <v>37</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637</v>
      </c>
      <c r="C555" t="s">
        <v>58</v>
      </c>
      <c r="D555">
        <v>132</v>
      </c>
      <c r="E555" s="17" t="s">
        <v>39</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638</v>
      </c>
      <c r="C556" t="s">
        <v>56</v>
      </c>
      <c r="D556">
        <v>106</v>
      </c>
      <c r="E556" s="17" t="s">
        <v>40</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639</v>
      </c>
      <c r="C557" t="s">
        <v>62</v>
      </c>
      <c r="D557">
        <v>107</v>
      </c>
      <c r="E557" s="17" t="s">
        <v>39</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640</v>
      </c>
      <c r="C558" t="s">
        <v>63</v>
      </c>
      <c r="D558">
        <v>85</v>
      </c>
      <c r="E558" s="17" t="s">
        <v>40</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641</v>
      </c>
      <c r="C559" t="s">
        <v>61</v>
      </c>
      <c r="D559">
        <v>49</v>
      </c>
      <c r="E559" s="17" t="s">
        <v>39</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642</v>
      </c>
      <c r="C560" t="s">
        <v>60</v>
      </c>
      <c r="D560">
        <v>117</v>
      </c>
      <c r="E560" s="17" t="s">
        <v>37</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643</v>
      </c>
      <c r="C561" t="s">
        <v>62</v>
      </c>
      <c r="D561">
        <v>136</v>
      </c>
      <c r="E561" s="17" t="s">
        <v>40</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644</v>
      </c>
      <c r="C562" t="s">
        <v>67</v>
      </c>
      <c r="D562">
        <v>130</v>
      </c>
      <c r="E562" s="17" t="s">
        <v>38</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645</v>
      </c>
      <c r="C563" t="s">
        <v>67</v>
      </c>
      <c r="D563">
        <v>73</v>
      </c>
      <c r="E563" s="17" t="s">
        <v>38</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646</v>
      </c>
      <c r="C564" t="s">
        <v>61</v>
      </c>
      <c r="D564">
        <v>80</v>
      </c>
      <c r="E564" s="17" t="s">
        <v>39</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647</v>
      </c>
      <c r="C565" t="s">
        <v>66</v>
      </c>
      <c r="D565">
        <v>44</v>
      </c>
      <c r="E565" s="17" t="s">
        <v>37</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648</v>
      </c>
      <c r="C566" t="s">
        <v>66</v>
      </c>
      <c r="D566">
        <v>102</v>
      </c>
      <c r="E566" s="17" t="s">
        <v>41</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649</v>
      </c>
      <c r="C567" t="s">
        <v>65</v>
      </c>
      <c r="D567">
        <v>74</v>
      </c>
      <c r="E567" s="17" t="s">
        <v>41</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650</v>
      </c>
      <c r="C568" t="s">
        <v>61</v>
      </c>
      <c r="D568">
        <v>52</v>
      </c>
      <c r="E568" s="17" t="s">
        <v>37</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651</v>
      </c>
      <c r="C569" t="s">
        <v>61</v>
      </c>
      <c r="D569">
        <v>74</v>
      </c>
      <c r="E569" s="17" t="s">
        <v>38</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652</v>
      </c>
      <c r="C570" t="s">
        <v>67</v>
      </c>
      <c r="D570">
        <v>96</v>
      </c>
      <c r="E570" s="17" t="s">
        <v>41</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653</v>
      </c>
      <c r="C571" t="s">
        <v>64</v>
      </c>
      <c r="D571">
        <v>104</v>
      </c>
      <c r="E571" s="17" t="s">
        <v>39</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654</v>
      </c>
      <c r="C572" t="s">
        <v>67</v>
      </c>
      <c r="D572">
        <v>123</v>
      </c>
      <c r="E572" s="17" t="s">
        <v>41</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655</v>
      </c>
      <c r="C573" t="s">
        <v>69</v>
      </c>
      <c r="D573">
        <v>100</v>
      </c>
      <c r="E573" s="17" t="s">
        <v>40</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656</v>
      </c>
      <c r="C574" t="s">
        <v>64</v>
      </c>
      <c r="D574">
        <v>35</v>
      </c>
      <c r="E574" s="17" t="s">
        <v>37</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657</v>
      </c>
      <c r="C575" t="s">
        <v>61</v>
      </c>
      <c r="D575">
        <v>123</v>
      </c>
      <c r="E575" s="17" t="s">
        <v>39</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658</v>
      </c>
      <c r="C576" t="s">
        <v>60</v>
      </c>
      <c r="D576">
        <v>133</v>
      </c>
      <c r="E576" s="17" t="s">
        <v>37</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659</v>
      </c>
      <c r="C577" t="s">
        <v>67</v>
      </c>
      <c r="D577">
        <v>126</v>
      </c>
      <c r="E577" s="17" t="s">
        <v>38</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660</v>
      </c>
      <c r="C578" t="s">
        <v>61</v>
      </c>
      <c r="D578">
        <v>39</v>
      </c>
      <c r="E578" s="17" t="s">
        <v>41</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661</v>
      </c>
      <c r="C579" t="s">
        <v>65</v>
      </c>
      <c r="D579">
        <v>31</v>
      </c>
      <c r="E579" s="17" t="s">
        <v>39</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662</v>
      </c>
      <c r="C580" t="s">
        <v>58</v>
      </c>
      <c r="D580">
        <v>25</v>
      </c>
      <c r="E580" s="17" t="s">
        <v>37</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663</v>
      </c>
      <c r="C581" t="s">
        <v>57</v>
      </c>
      <c r="D581">
        <v>132</v>
      </c>
      <c r="E581" s="17" t="s">
        <v>40</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664</v>
      </c>
      <c r="C582" t="s">
        <v>64</v>
      </c>
      <c r="D582">
        <v>63</v>
      </c>
      <c r="E582" s="17" t="s">
        <v>38</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665</v>
      </c>
      <c r="C583" t="s">
        <v>69</v>
      </c>
      <c r="D583">
        <v>135</v>
      </c>
      <c r="E583" s="17" t="s">
        <v>40</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666</v>
      </c>
      <c r="C584" t="s">
        <v>63</v>
      </c>
      <c r="D584">
        <v>101</v>
      </c>
      <c r="E584" s="17" t="s">
        <v>38</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667</v>
      </c>
      <c r="C585" t="s">
        <v>60</v>
      </c>
      <c r="D585">
        <v>80</v>
      </c>
      <c r="E585" s="17" t="s">
        <v>41</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668</v>
      </c>
      <c r="C586" t="s">
        <v>66</v>
      </c>
      <c r="D586">
        <v>28</v>
      </c>
      <c r="E586" s="17" t="s">
        <v>41</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669</v>
      </c>
      <c r="C587" t="s">
        <v>63</v>
      </c>
      <c r="D587">
        <v>102</v>
      </c>
      <c r="E587" s="17" t="s">
        <v>40</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670</v>
      </c>
      <c r="C588" t="s">
        <v>64</v>
      </c>
      <c r="D588">
        <v>60</v>
      </c>
      <c r="E588" s="17" t="s">
        <v>40</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671</v>
      </c>
      <c r="C589" t="s">
        <v>70</v>
      </c>
      <c r="D589">
        <v>103</v>
      </c>
      <c r="E589" s="17" t="s">
        <v>40</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672</v>
      </c>
      <c r="C590" t="s">
        <v>60</v>
      </c>
      <c r="D590">
        <v>90</v>
      </c>
      <c r="E590" s="17" t="s">
        <v>41</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673</v>
      </c>
      <c r="C591" t="s">
        <v>59</v>
      </c>
      <c r="D591">
        <v>88</v>
      </c>
      <c r="E591" s="17" t="s">
        <v>40</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674</v>
      </c>
      <c r="C592" t="s">
        <v>70</v>
      </c>
      <c r="D592">
        <v>37</v>
      </c>
      <c r="E592" s="17" t="s">
        <v>40</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675</v>
      </c>
      <c r="C593" t="s">
        <v>66</v>
      </c>
      <c r="D593">
        <v>142</v>
      </c>
      <c r="E593" s="17" t="s">
        <v>41</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676</v>
      </c>
      <c r="C594" t="s">
        <v>66</v>
      </c>
      <c r="D594">
        <v>153</v>
      </c>
      <c r="E594" s="17" t="s">
        <v>37</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677</v>
      </c>
      <c r="C595" t="s">
        <v>68</v>
      </c>
      <c r="D595">
        <v>128</v>
      </c>
      <c r="E595" s="17" t="s">
        <v>38</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678</v>
      </c>
      <c r="C596" t="s">
        <v>64</v>
      </c>
      <c r="D596">
        <v>110</v>
      </c>
      <c r="E596" s="17" t="s">
        <v>38</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679</v>
      </c>
      <c r="C597" t="s">
        <v>68</v>
      </c>
      <c r="D597">
        <v>139</v>
      </c>
      <c r="E597" s="17" t="s">
        <v>40</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680</v>
      </c>
      <c r="C598" t="s">
        <v>63</v>
      </c>
      <c r="D598">
        <v>109</v>
      </c>
      <c r="E598" s="17" t="s">
        <v>39</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681</v>
      </c>
      <c r="C599" t="s">
        <v>57</v>
      </c>
      <c r="D599">
        <v>57</v>
      </c>
      <c r="E599" s="17" t="s">
        <v>41</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682</v>
      </c>
      <c r="C600" t="s">
        <v>63</v>
      </c>
      <c r="D600">
        <v>68</v>
      </c>
      <c r="E600" s="17" t="s">
        <v>40</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683</v>
      </c>
      <c r="C601" t="s">
        <v>58</v>
      </c>
      <c r="D601">
        <v>128</v>
      </c>
      <c r="E601" s="17" t="s">
        <v>40</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684</v>
      </c>
      <c r="C602" t="s">
        <v>56</v>
      </c>
      <c r="D602">
        <v>102</v>
      </c>
      <c r="E602" s="17" t="s">
        <v>41</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685</v>
      </c>
      <c r="C603" t="s">
        <v>68</v>
      </c>
      <c r="D603">
        <v>52</v>
      </c>
      <c r="E603" s="17" t="s">
        <v>37</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686</v>
      </c>
      <c r="C604" t="s">
        <v>58</v>
      </c>
      <c r="D604">
        <v>55</v>
      </c>
      <c r="E604" s="17" t="s">
        <v>38</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687</v>
      </c>
      <c r="C605" t="s">
        <v>70</v>
      </c>
      <c r="D605">
        <v>107</v>
      </c>
      <c r="E605" s="17" t="s">
        <v>40</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688</v>
      </c>
      <c r="C606" t="s">
        <v>60</v>
      </c>
      <c r="D606">
        <v>88</v>
      </c>
      <c r="E606" s="17" t="s">
        <v>37</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689</v>
      </c>
      <c r="C607" t="s">
        <v>61</v>
      </c>
      <c r="D607">
        <v>49</v>
      </c>
      <c r="E607" s="17" t="s">
        <v>37</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690</v>
      </c>
      <c r="C608" t="s">
        <v>60</v>
      </c>
      <c r="D608">
        <v>72</v>
      </c>
      <c r="E608" s="17" t="s">
        <v>41</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691</v>
      </c>
      <c r="C609" t="s">
        <v>57</v>
      </c>
      <c r="D609">
        <v>50</v>
      </c>
      <c r="E609" s="17" t="s">
        <v>41</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692</v>
      </c>
      <c r="C610" t="s">
        <v>60</v>
      </c>
      <c r="D610">
        <v>52</v>
      </c>
      <c r="E610" s="17" t="s">
        <v>40</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693</v>
      </c>
      <c r="C611" t="s">
        <v>67</v>
      </c>
      <c r="D611">
        <v>85</v>
      </c>
      <c r="E611" s="17" t="s">
        <v>39</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694</v>
      </c>
      <c r="C612" t="s">
        <v>69</v>
      </c>
      <c r="D612">
        <v>98</v>
      </c>
      <c r="E612" s="17" t="s">
        <v>39</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695</v>
      </c>
      <c r="C613" t="s">
        <v>65</v>
      </c>
      <c r="D613">
        <v>52</v>
      </c>
      <c r="E613" s="17" t="s">
        <v>39</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696</v>
      </c>
      <c r="C614" t="s">
        <v>58</v>
      </c>
      <c r="D614">
        <v>154</v>
      </c>
      <c r="E614" s="17" t="s">
        <v>37</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697</v>
      </c>
      <c r="C615" t="s">
        <v>62</v>
      </c>
      <c r="D615">
        <v>131</v>
      </c>
      <c r="E615" s="17" t="s">
        <v>38</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698</v>
      </c>
      <c r="C616" t="s">
        <v>67</v>
      </c>
      <c r="D616">
        <v>73</v>
      </c>
      <c r="E616" s="17" t="s">
        <v>38</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699</v>
      </c>
      <c r="C617" t="s">
        <v>64</v>
      </c>
      <c r="D617">
        <v>45</v>
      </c>
      <c r="E617" s="17" t="s">
        <v>39</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700</v>
      </c>
      <c r="C618" t="s">
        <v>68</v>
      </c>
      <c r="D618">
        <v>114</v>
      </c>
      <c r="E618" s="17" t="s">
        <v>40</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701</v>
      </c>
      <c r="C619" t="s">
        <v>69</v>
      </c>
      <c r="D619">
        <v>69</v>
      </c>
      <c r="E619" s="17" t="s">
        <v>38</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702</v>
      </c>
      <c r="C620" t="s">
        <v>62</v>
      </c>
      <c r="D620">
        <v>33</v>
      </c>
      <c r="E620" s="17" t="s">
        <v>37</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703</v>
      </c>
      <c r="C621" t="s">
        <v>57</v>
      </c>
      <c r="D621">
        <v>31</v>
      </c>
      <c r="E621" s="17" t="s">
        <v>41</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704</v>
      </c>
      <c r="C622" t="s">
        <v>64</v>
      </c>
      <c r="D622">
        <v>168</v>
      </c>
      <c r="E622" s="17" t="s">
        <v>37</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705</v>
      </c>
      <c r="C623" t="s">
        <v>67</v>
      </c>
      <c r="D623">
        <v>111</v>
      </c>
      <c r="E623" s="17" t="s">
        <v>40</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706</v>
      </c>
      <c r="C624" t="s">
        <v>57</v>
      </c>
      <c r="D624">
        <v>80</v>
      </c>
      <c r="E624" s="17" t="s">
        <v>37</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707</v>
      </c>
      <c r="C625" t="s">
        <v>56</v>
      </c>
      <c r="D625">
        <v>37</v>
      </c>
      <c r="E625" s="17" t="s">
        <v>37</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708</v>
      </c>
      <c r="C626" t="s">
        <v>66</v>
      </c>
      <c r="D626">
        <v>137</v>
      </c>
      <c r="E626" s="17" t="s">
        <v>37</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709</v>
      </c>
      <c r="C627" t="s">
        <v>69</v>
      </c>
      <c r="D627">
        <v>123</v>
      </c>
      <c r="E627" s="17" t="s">
        <v>40</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710</v>
      </c>
      <c r="C628" t="s">
        <v>59</v>
      </c>
      <c r="D628">
        <v>105</v>
      </c>
      <c r="E628" s="17" t="s">
        <v>40</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711</v>
      </c>
      <c r="C629" t="s">
        <v>56</v>
      </c>
      <c r="D629">
        <v>76</v>
      </c>
      <c r="E629" s="17" t="s">
        <v>39</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712</v>
      </c>
      <c r="C630" t="s">
        <v>57</v>
      </c>
      <c r="D630">
        <v>144</v>
      </c>
      <c r="E630" s="17" t="s">
        <v>39</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713</v>
      </c>
      <c r="C631" t="s">
        <v>62</v>
      </c>
      <c r="D631">
        <v>109</v>
      </c>
      <c r="E631" s="17" t="s">
        <v>41</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714</v>
      </c>
      <c r="C632" t="s">
        <v>69</v>
      </c>
      <c r="D632">
        <v>172</v>
      </c>
      <c r="E632" s="17" t="s">
        <v>37</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715</v>
      </c>
      <c r="C633" t="s">
        <v>57</v>
      </c>
      <c r="D633">
        <v>56</v>
      </c>
      <c r="E633" s="17" t="s">
        <v>40</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716</v>
      </c>
      <c r="C634" t="s">
        <v>57</v>
      </c>
      <c r="D634">
        <v>121</v>
      </c>
      <c r="E634" s="17" t="s">
        <v>38</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717</v>
      </c>
      <c r="C635" t="s">
        <v>69</v>
      </c>
      <c r="D635">
        <v>41</v>
      </c>
      <c r="E635" s="17" t="s">
        <v>40</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718</v>
      </c>
      <c r="C636" t="s">
        <v>70</v>
      </c>
      <c r="D636">
        <v>60</v>
      </c>
      <c r="E636" s="17" t="s">
        <v>37</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719</v>
      </c>
      <c r="C637" t="s">
        <v>70</v>
      </c>
      <c r="D637">
        <v>144</v>
      </c>
      <c r="E637" s="17" t="s">
        <v>37</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720</v>
      </c>
      <c r="C638" t="s">
        <v>58</v>
      </c>
      <c r="D638">
        <v>67</v>
      </c>
      <c r="E638" s="17" t="s">
        <v>37</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721</v>
      </c>
      <c r="C639" t="s">
        <v>69</v>
      </c>
      <c r="D639">
        <v>162</v>
      </c>
      <c r="E639" s="17" t="s">
        <v>41</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722</v>
      </c>
      <c r="C640" t="s">
        <v>70</v>
      </c>
      <c r="D640">
        <v>87</v>
      </c>
      <c r="E640" s="17" t="s">
        <v>38</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723</v>
      </c>
      <c r="C641" t="s">
        <v>65</v>
      </c>
      <c r="D641">
        <v>10</v>
      </c>
      <c r="E641" s="17" t="s">
        <v>39</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724</v>
      </c>
      <c r="C642" t="s">
        <v>57</v>
      </c>
      <c r="D642">
        <v>138</v>
      </c>
      <c r="E642" s="17" t="s">
        <v>39</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725</v>
      </c>
      <c r="C643" t="s">
        <v>69</v>
      </c>
      <c r="D643">
        <v>31</v>
      </c>
      <c r="E643" s="17" t="s">
        <v>39</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726</v>
      </c>
      <c r="C644" t="s">
        <v>59</v>
      </c>
      <c r="D644">
        <v>75</v>
      </c>
      <c r="E644" s="17" t="s">
        <v>41</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727</v>
      </c>
      <c r="C645" t="s">
        <v>56</v>
      </c>
      <c r="D645">
        <v>65</v>
      </c>
      <c r="E645" s="17" t="s">
        <v>41</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728</v>
      </c>
      <c r="C646" t="s">
        <v>67</v>
      </c>
      <c r="D646">
        <v>106</v>
      </c>
      <c r="E646" s="17" t="s">
        <v>40</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729</v>
      </c>
      <c r="C647" t="s">
        <v>56</v>
      </c>
      <c r="D647">
        <v>107</v>
      </c>
      <c r="E647" s="17" t="s">
        <v>40</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730</v>
      </c>
      <c r="C648" t="s">
        <v>66</v>
      </c>
      <c r="D648">
        <v>78</v>
      </c>
      <c r="E648" s="17" t="s">
        <v>40</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731</v>
      </c>
      <c r="C649" t="s">
        <v>60</v>
      </c>
      <c r="D649">
        <v>122</v>
      </c>
      <c r="E649" s="17" t="s">
        <v>40</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732</v>
      </c>
      <c r="C650" t="s">
        <v>57</v>
      </c>
      <c r="D650">
        <v>58</v>
      </c>
      <c r="E650" s="17" t="s">
        <v>39</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733</v>
      </c>
      <c r="C651" t="s">
        <v>66</v>
      </c>
      <c r="D651">
        <v>33</v>
      </c>
      <c r="E651" s="17" t="s">
        <v>37</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734</v>
      </c>
      <c r="C652" t="s">
        <v>62</v>
      </c>
      <c r="D652">
        <v>164</v>
      </c>
      <c r="E652" s="17" t="s">
        <v>41</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735</v>
      </c>
      <c r="C653" t="s">
        <v>59</v>
      </c>
      <c r="D653">
        <v>163</v>
      </c>
      <c r="E653" s="17" t="s">
        <v>38</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736</v>
      </c>
      <c r="C654" t="s">
        <v>61</v>
      </c>
      <c r="D654">
        <v>71</v>
      </c>
      <c r="E654" s="17" t="s">
        <v>41</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737</v>
      </c>
      <c r="C655" t="s">
        <v>66</v>
      </c>
      <c r="D655">
        <v>103</v>
      </c>
      <c r="E655" s="17" t="s">
        <v>39</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738</v>
      </c>
      <c r="C656" t="s">
        <v>68</v>
      </c>
      <c r="D656">
        <v>69</v>
      </c>
      <c r="E656" s="17" t="s">
        <v>38</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739</v>
      </c>
      <c r="C657" t="s">
        <v>59</v>
      </c>
      <c r="D657">
        <v>111</v>
      </c>
      <c r="E657" s="17" t="s">
        <v>39</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740</v>
      </c>
      <c r="C658" t="s">
        <v>63</v>
      </c>
      <c r="D658">
        <v>97</v>
      </c>
      <c r="E658" s="17" t="s">
        <v>38</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741</v>
      </c>
      <c r="C659" t="s">
        <v>64</v>
      </c>
      <c r="D659">
        <v>144</v>
      </c>
      <c r="E659" s="17" t="s">
        <v>40</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742</v>
      </c>
      <c r="C660" t="s">
        <v>67</v>
      </c>
      <c r="D660">
        <v>56</v>
      </c>
      <c r="E660" s="17" t="s">
        <v>38</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743</v>
      </c>
      <c r="C661" t="s">
        <v>64</v>
      </c>
      <c r="D661">
        <v>132</v>
      </c>
      <c r="E661" s="17" t="s">
        <v>40</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744</v>
      </c>
      <c r="C662" t="s">
        <v>61</v>
      </c>
      <c r="D662">
        <v>72</v>
      </c>
      <c r="E662" s="17" t="s">
        <v>37</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745</v>
      </c>
      <c r="C663" t="s">
        <v>59</v>
      </c>
      <c r="D663">
        <v>18</v>
      </c>
      <c r="E663" s="17" t="s">
        <v>37</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746</v>
      </c>
      <c r="C664" t="s">
        <v>58</v>
      </c>
      <c r="D664">
        <v>115</v>
      </c>
      <c r="E664" s="17" t="s">
        <v>39</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747</v>
      </c>
      <c r="C665" t="s">
        <v>58</v>
      </c>
      <c r="D665">
        <v>124</v>
      </c>
      <c r="E665" s="17" t="s">
        <v>38</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748</v>
      </c>
      <c r="C666" t="s">
        <v>57</v>
      </c>
      <c r="D666">
        <v>130</v>
      </c>
      <c r="E666" s="17" t="s">
        <v>38</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749</v>
      </c>
      <c r="C667" t="s">
        <v>65</v>
      </c>
      <c r="D667">
        <v>120</v>
      </c>
      <c r="E667" s="17" t="s">
        <v>41</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750</v>
      </c>
      <c r="C668" t="s">
        <v>63</v>
      </c>
      <c r="D668">
        <v>75</v>
      </c>
      <c r="E668" s="17" t="s">
        <v>39</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751</v>
      </c>
      <c r="C669" t="s">
        <v>56</v>
      </c>
      <c r="D669">
        <v>63</v>
      </c>
      <c r="E669" s="17" t="s">
        <v>39</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752</v>
      </c>
      <c r="C670" t="s">
        <v>64</v>
      </c>
      <c r="D670">
        <v>74</v>
      </c>
      <c r="E670" s="17" t="s">
        <v>39</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753</v>
      </c>
      <c r="C671" t="s">
        <v>68</v>
      </c>
      <c r="D671">
        <v>134</v>
      </c>
      <c r="E671" s="17" t="s">
        <v>40</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754</v>
      </c>
      <c r="C672" t="s">
        <v>59</v>
      </c>
      <c r="D672">
        <v>103</v>
      </c>
      <c r="E672" s="17" t="s">
        <v>38</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755</v>
      </c>
      <c r="C673" t="s">
        <v>59</v>
      </c>
      <c r="D673">
        <v>155</v>
      </c>
      <c r="E673" s="17" t="s">
        <v>41</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756</v>
      </c>
      <c r="C674" t="s">
        <v>56</v>
      </c>
      <c r="D674">
        <v>128</v>
      </c>
      <c r="E674" s="17" t="s">
        <v>38</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757</v>
      </c>
      <c r="C675" t="s">
        <v>63</v>
      </c>
      <c r="D675">
        <v>89</v>
      </c>
      <c r="E675" s="17" t="s">
        <v>40</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758</v>
      </c>
      <c r="C676" t="s">
        <v>58</v>
      </c>
      <c r="D676">
        <v>81</v>
      </c>
      <c r="E676" s="17" t="s">
        <v>41</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759</v>
      </c>
      <c r="C677" t="s">
        <v>63</v>
      </c>
      <c r="D677">
        <v>66</v>
      </c>
      <c r="E677" s="17" t="s">
        <v>40</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760</v>
      </c>
      <c r="C678" t="s">
        <v>61</v>
      </c>
      <c r="D678">
        <v>61</v>
      </c>
      <c r="E678" s="17" t="s">
        <v>37</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761</v>
      </c>
      <c r="C679" t="s">
        <v>58</v>
      </c>
      <c r="D679">
        <v>128</v>
      </c>
      <c r="E679" s="17" t="s">
        <v>37</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762</v>
      </c>
      <c r="C680" t="s">
        <v>59</v>
      </c>
      <c r="D680">
        <v>30</v>
      </c>
      <c r="E680" s="17" t="s">
        <v>41</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763</v>
      </c>
      <c r="C681" t="s">
        <v>62</v>
      </c>
      <c r="D681">
        <v>63</v>
      </c>
      <c r="E681" s="17" t="s">
        <v>37</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764</v>
      </c>
      <c r="C682" t="s">
        <v>60</v>
      </c>
      <c r="D682">
        <v>64</v>
      </c>
      <c r="E682" s="17" t="s">
        <v>39</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765</v>
      </c>
      <c r="C683" t="s">
        <v>70</v>
      </c>
      <c r="D683">
        <v>151</v>
      </c>
      <c r="E683" s="17" t="s">
        <v>38</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766</v>
      </c>
      <c r="C684" t="s">
        <v>66</v>
      </c>
      <c r="D684">
        <v>116</v>
      </c>
      <c r="E684" s="17" t="s">
        <v>40</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767</v>
      </c>
      <c r="C685" t="s">
        <v>70</v>
      </c>
      <c r="D685">
        <v>111</v>
      </c>
      <c r="E685" s="17" t="s">
        <v>40</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768</v>
      </c>
      <c r="C686" t="s">
        <v>58</v>
      </c>
      <c r="D686">
        <v>15</v>
      </c>
      <c r="E686" s="17" t="s">
        <v>40</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769</v>
      </c>
      <c r="C687" t="s">
        <v>60</v>
      </c>
      <c r="D687">
        <v>18</v>
      </c>
      <c r="E687" s="17" t="s">
        <v>38</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770</v>
      </c>
      <c r="C688" t="s">
        <v>61</v>
      </c>
      <c r="D688">
        <v>146</v>
      </c>
      <c r="E688" s="17" t="s">
        <v>37</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771</v>
      </c>
      <c r="C689" t="s">
        <v>59</v>
      </c>
      <c r="D689">
        <v>73</v>
      </c>
      <c r="E689" s="17" t="s">
        <v>40</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772</v>
      </c>
      <c r="C690" t="s">
        <v>70</v>
      </c>
      <c r="D690">
        <v>108</v>
      </c>
      <c r="E690" s="17" t="s">
        <v>38</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773</v>
      </c>
      <c r="C691" t="s">
        <v>68</v>
      </c>
      <c r="D691">
        <v>52</v>
      </c>
      <c r="E691" s="17" t="s">
        <v>38</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774</v>
      </c>
      <c r="C692" t="s">
        <v>66</v>
      </c>
      <c r="D692">
        <v>165</v>
      </c>
      <c r="E692" s="17" t="s">
        <v>39</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775</v>
      </c>
      <c r="C693" t="s">
        <v>61</v>
      </c>
      <c r="D693">
        <v>104</v>
      </c>
      <c r="E693" s="17" t="s">
        <v>40</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776</v>
      </c>
      <c r="C694" t="s">
        <v>59</v>
      </c>
      <c r="D694">
        <v>131</v>
      </c>
      <c r="E694" s="17" t="s">
        <v>37</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777</v>
      </c>
      <c r="C695" t="s">
        <v>65</v>
      </c>
      <c r="D695">
        <v>80</v>
      </c>
      <c r="E695" s="17" t="s">
        <v>39</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778</v>
      </c>
      <c r="C696" t="s">
        <v>58</v>
      </c>
      <c r="D696">
        <v>49</v>
      </c>
      <c r="E696" s="17" t="s">
        <v>40</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779</v>
      </c>
      <c r="C697" t="s">
        <v>66</v>
      </c>
      <c r="D697">
        <v>73</v>
      </c>
      <c r="E697" s="17" t="s">
        <v>40</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780</v>
      </c>
      <c r="C698" t="s">
        <v>61</v>
      </c>
      <c r="D698">
        <v>117</v>
      </c>
      <c r="E698" s="17" t="s">
        <v>39</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781</v>
      </c>
      <c r="C699" t="s">
        <v>67</v>
      </c>
      <c r="D699">
        <v>38</v>
      </c>
      <c r="E699" s="17" t="s">
        <v>41</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782</v>
      </c>
      <c r="C700" t="s">
        <v>68</v>
      </c>
      <c r="D700">
        <v>109</v>
      </c>
      <c r="E700" s="17" t="s">
        <v>39</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783</v>
      </c>
      <c r="C701" t="s">
        <v>58</v>
      </c>
      <c r="D701">
        <v>70</v>
      </c>
      <c r="E701" s="17" t="s">
        <v>38</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784</v>
      </c>
      <c r="C702" t="s">
        <v>57</v>
      </c>
      <c r="D702">
        <v>51</v>
      </c>
      <c r="E702" s="17" t="s">
        <v>41</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785</v>
      </c>
      <c r="C703" t="s">
        <v>57</v>
      </c>
      <c r="D703">
        <v>100</v>
      </c>
      <c r="E703" s="17" t="s">
        <v>38</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786</v>
      </c>
      <c r="C704" t="s">
        <v>64</v>
      </c>
      <c r="D704">
        <v>124</v>
      </c>
      <c r="E704" s="17" t="s">
        <v>41</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787</v>
      </c>
      <c r="C705" t="s">
        <v>56</v>
      </c>
      <c r="D705">
        <v>143</v>
      </c>
      <c r="E705" s="17" t="s">
        <v>39</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788</v>
      </c>
      <c r="C706" t="s">
        <v>63</v>
      </c>
      <c r="D706">
        <v>96</v>
      </c>
      <c r="E706" s="17" t="s">
        <v>40</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789</v>
      </c>
      <c r="C707" t="s">
        <v>66</v>
      </c>
      <c r="D707">
        <v>84</v>
      </c>
      <c r="E707" s="17" t="s">
        <v>38</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790</v>
      </c>
      <c r="C708" t="s">
        <v>69</v>
      </c>
      <c r="D708">
        <v>111</v>
      </c>
      <c r="E708" s="17" t="s">
        <v>38</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791</v>
      </c>
      <c r="C709" t="s">
        <v>69</v>
      </c>
      <c r="D709">
        <v>103</v>
      </c>
      <c r="E709" s="17" t="s">
        <v>41</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792</v>
      </c>
      <c r="C710" t="s">
        <v>56</v>
      </c>
      <c r="D710">
        <v>61</v>
      </c>
      <c r="E710" s="17" t="s">
        <v>37</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793</v>
      </c>
      <c r="C711" t="s">
        <v>59</v>
      </c>
      <c r="D711">
        <v>113</v>
      </c>
      <c r="E711" s="17" t="s">
        <v>40</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794</v>
      </c>
      <c r="C712" t="s">
        <v>59</v>
      </c>
      <c r="D712">
        <v>96</v>
      </c>
      <c r="E712" s="17" t="s">
        <v>40</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795</v>
      </c>
      <c r="C713" t="s">
        <v>60</v>
      </c>
      <c r="D713">
        <v>131</v>
      </c>
      <c r="E713" s="17" t="s">
        <v>41</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796</v>
      </c>
      <c r="C714" t="s">
        <v>61</v>
      </c>
      <c r="D714">
        <v>52</v>
      </c>
      <c r="E714" s="17" t="s">
        <v>40</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797</v>
      </c>
      <c r="C715" t="s">
        <v>57</v>
      </c>
      <c r="D715">
        <v>100</v>
      </c>
      <c r="E715" s="17" t="s">
        <v>41</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798</v>
      </c>
      <c r="C716" t="s">
        <v>70</v>
      </c>
      <c r="D716">
        <v>58</v>
      </c>
      <c r="E716" s="17" t="s">
        <v>39</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799</v>
      </c>
      <c r="C717" t="s">
        <v>58</v>
      </c>
      <c r="D717">
        <v>144</v>
      </c>
      <c r="E717" s="17" t="s">
        <v>39</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800</v>
      </c>
      <c r="C718" t="s">
        <v>70</v>
      </c>
      <c r="D718">
        <v>53</v>
      </c>
      <c r="E718" s="17" t="s">
        <v>37</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801</v>
      </c>
      <c r="C719" t="s">
        <v>59</v>
      </c>
      <c r="D719">
        <v>97</v>
      </c>
      <c r="E719" s="17" t="s">
        <v>38</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802</v>
      </c>
      <c r="C720" t="s">
        <v>67</v>
      </c>
      <c r="D720">
        <v>64</v>
      </c>
      <c r="E720" s="17" t="s">
        <v>39</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803</v>
      </c>
      <c r="C721" t="s">
        <v>56</v>
      </c>
      <c r="D721">
        <v>106</v>
      </c>
      <c r="E721" s="17" t="s">
        <v>41</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804</v>
      </c>
      <c r="C722" t="s">
        <v>66</v>
      </c>
      <c r="D722">
        <v>36</v>
      </c>
      <c r="E722" s="17" t="s">
        <v>39</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805</v>
      </c>
      <c r="C723" t="s">
        <v>58</v>
      </c>
      <c r="D723">
        <v>74</v>
      </c>
      <c r="E723" s="17" t="s">
        <v>40</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806</v>
      </c>
      <c r="C724" t="s">
        <v>68</v>
      </c>
      <c r="D724">
        <v>143</v>
      </c>
      <c r="E724" s="17" t="s">
        <v>38</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807</v>
      </c>
      <c r="C725" t="s">
        <v>56</v>
      </c>
      <c r="D725">
        <v>94</v>
      </c>
      <c r="E725" s="17" t="s">
        <v>37</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808</v>
      </c>
      <c r="C726" t="s">
        <v>65</v>
      </c>
      <c r="D726">
        <v>124</v>
      </c>
      <c r="E726" s="17" t="s">
        <v>41</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809</v>
      </c>
      <c r="C727" t="s">
        <v>66</v>
      </c>
      <c r="D727">
        <v>156</v>
      </c>
      <c r="E727" s="17" t="s">
        <v>39</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810</v>
      </c>
      <c r="C728" t="s">
        <v>63</v>
      </c>
      <c r="D728">
        <v>107</v>
      </c>
      <c r="E728" s="17" t="s">
        <v>38</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811</v>
      </c>
      <c r="C729" t="s">
        <v>56</v>
      </c>
      <c r="D729">
        <v>58</v>
      </c>
      <c r="E729" s="17" t="s">
        <v>38</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812</v>
      </c>
      <c r="C730" t="s">
        <v>64</v>
      </c>
      <c r="D730">
        <v>66</v>
      </c>
      <c r="E730" s="17" t="s">
        <v>38</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813</v>
      </c>
      <c r="C731" t="s">
        <v>60</v>
      </c>
      <c r="D731">
        <v>75</v>
      </c>
      <c r="E731" s="17" t="s">
        <v>39</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814</v>
      </c>
      <c r="C732" t="s">
        <v>63</v>
      </c>
      <c r="D732">
        <v>8</v>
      </c>
      <c r="E732" s="17" t="s">
        <v>38</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815</v>
      </c>
      <c r="C733" t="s">
        <v>67</v>
      </c>
      <c r="D733">
        <v>76</v>
      </c>
      <c r="E733" s="17" t="s">
        <v>39</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816</v>
      </c>
      <c r="C734" t="s">
        <v>56</v>
      </c>
      <c r="D734">
        <v>110</v>
      </c>
      <c r="E734" s="17" t="s">
        <v>39</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817</v>
      </c>
      <c r="C735" t="s">
        <v>64</v>
      </c>
      <c r="D735">
        <v>50</v>
      </c>
      <c r="E735" s="17" t="s">
        <v>37</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818</v>
      </c>
      <c r="C736" t="s">
        <v>61</v>
      </c>
      <c r="D736">
        <v>78</v>
      </c>
      <c r="E736" s="17" t="s">
        <v>37</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819</v>
      </c>
      <c r="C737" t="s">
        <v>59</v>
      </c>
      <c r="D737">
        <v>59</v>
      </c>
      <c r="E737" s="17" t="s">
        <v>41</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820</v>
      </c>
      <c r="C738" t="s">
        <v>61</v>
      </c>
      <c r="D738">
        <v>126</v>
      </c>
      <c r="E738" s="17" t="s">
        <v>38</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821</v>
      </c>
      <c r="C739" t="s">
        <v>67</v>
      </c>
      <c r="D739">
        <v>43</v>
      </c>
      <c r="E739" s="17" t="s">
        <v>41</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822</v>
      </c>
      <c r="C740" t="s">
        <v>66</v>
      </c>
      <c r="D740">
        <v>79</v>
      </c>
      <c r="E740" s="17" t="s">
        <v>39</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823</v>
      </c>
      <c r="C741" t="s">
        <v>56</v>
      </c>
      <c r="D741">
        <v>71</v>
      </c>
      <c r="E741" s="17" t="s">
        <v>41</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824</v>
      </c>
      <c r="C742" t="s">
        <v>69</v>
      </c>
      <c r="D742">
        <v>94</v>
      </c>
      <c r="E742" s="17" t="s">
        <v>38</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825</v>
      </c>
      <c r="C743" t="s">
        <v>63</v>
      </c>
      <c r="D743">
        <v>108</v>
      </c>
      <c r="E743" s="17" t="s">
        <v>41</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826</v>
      </c>
      <c r="C744" t="s">
        <v>67</v>
      </c>
      <c r="D744">
        <v>76</v>
      </c>
      <c r="E744" s="17" t="s">
        <v>38</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827</v>
      </c>
      <c r="C745" t="s">
        <v>59</v>
      </c>
      <c r="D745">
        <v>136</v>
      </c>
      <c r="E745" s="17" t="s">
        <v>41</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828</v>
      </c>
      <c r="C746" t="s">
        <v>57</v>
      </c>
      <c r="D746">
        <v>129</v>
      </c>
      <c r="E746" s="17" t="s">
        <v>37</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829</v>
      </c>
      <c r="C747" t="s">
        <v>63</v>
      </c>
      <c r="D747">
        <v>120</v>
      </c>
      <c r="E747" s="17" t="s">
        <v>41</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830</v>
      </c>
      <c r="C748" t="s">
        <v>67</v>
      </c>
      <c r="D748">
        <v>108</v>
      </c>
      <c r="E748" s="17" t="s">
        <v>37</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831</v>
      </c>
      <c r="C749" t="s">
        <v>61</v>
      </c>
      <c r="D749">
        <v>79</v>
      </c>
      <c r="E749" s="17" t="s">
        <v>41</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832</v>
      </c>
      <c r="C750" t="s">
        <v>61</v>
      </c>
      <c r="D750">
        <v>45</v>
      </c>
      <c r="E750" s="17" t="s">
        <v>37</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833</v>
      </c>
      <c r="C751" t="s">
        <v>58</v>
      </c>
      <c r="D751">
        <v>96</v>
      </c>
      <c r="E751" s="17" t="s">
        <v>41</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834</v>
      </c>
      <c r="C752" t="s">
        <v>58</v>
      </c>
      <c r="D752">
        <v>81</v>
      </c>
      <c r="E752" s="17" t="s">
        <v>41</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835</v>
      </c>
      <c r="C753" t="s">
        <v>59</v>
      </c>
      <c r="D753">
        <v>95</v>
      </c>
      <c r="E753" s="17" t="s">
        <v>40</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836</v>
      </c>
      <c r="C754" t="s">
        <v>65</v>
      </c>
      <c r="D754">
        <v>159</v>
      </c>
      <c r="E754" s="17" t="s">
        <v>38</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837</v>
      </c>
      <c r="C755" t="s">
        <v>62</v>
      </c>
      <c r="D755">
        <v>109</v>
      </c>
      <c r="E755" s="17" t="s">
        <v>39</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838</v>
      </c>
      <c r="C756" t="s">
        <v>61</v>
      </c>
      <c r="D756">
        <v>107</v>
      </c>
      <c r="E756" s="17" t="s">
        <v>39</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839</v>
      </c>
      <c r="C757" t="s">
        <v>58</v>
      </c>
      <c r="D757">
        <v>67</v>
      </c>
      <c r="E757" s="17" t="s">
        <v>37</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840</v>
      </c>
      <c r="C758" t="s">
        <v>60</v>
      </c>
      <c r="D758">
        <v>96</v>
      </c>
      <c r="E758" s="17" t="s">
        <v>41</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841</v>
      </c>
      <c r="C759" t="s">
        <v>68</v>
      </c>
      <c r="D759">
        <v>142</v>
      </c>
      <c r="E759" s="17" t="s">
        <v>38</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842</v>
      </c>
      <c r="C760" t="s">
        <v>68</v>
      </c>
      <c r="D760">
        <v>71</v>
      </c>
      <c r="E760" s="17" t="s">
        <v>40</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843</v>
      </c>
      <c r="C761" t="s">
        <v>60</v>
      </c>
      <c r="D761">
        <v>152</v>
      </c>
      <c r="E761" s="17" t="s">
        <v>40</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844</v>
      </c>
      <c r="C762" t="s">
        <v>66</v>
      </c>
      <c r="D762">
        <v>108</v>
      </c>
      <c r="E762" s="17" t="s">
        <v>38</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845</v>
      </c>
      <c r="C763" t="s">
        <v>66</v>
      </c>
      <c r="D763">
        <v>156</v>
      </c>
      <c r="E763" s="17" t="s">
        <v>40</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846</v>
      </c>
      <c r="C764" t="s">
        <v>68</v>
      </c>
      <c r="D764">
        <v>126</v>
      </c>
      <c r="E764" s="17" t="s">
        <v>38</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847</v>
      </c>
      <c r="C765" t="s">
        <v>67</v>
      </c>
      <c r="D765">
        <v>135</v>
      </c>
      <c r="E765" s="17" t="s">
        <v>40</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848</v>
      </c>
      <c r="C766" t="s">
        <v>68</v>
      </c>
      <c r="D766">
        <v>110</v>
      </c>
      <c r="E766" s="17" t="s">
        <v>41</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849</v>
      </c>
      <c r="C767" t="s">
        <v>65</v>
      </c>
      <c r="D767">
        <v>64</v>
      </c>
      <c r="E767" s="17" t="s">
        <v>40</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850</v>
      </c>
      <c r="C768" t="s">
        <v>69</v>
      </c>
      <c r="D768">
        <v>127</v>
      </c>
      <c r="E768" s="17" t="s">
        <v>38</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851</v>
      </c>
      <c r="C769" t="s">
        <v>62</v>
      </c>
      <c r="D769">
        <v>124</v>
      </c>
      <c r="E769" s="17" t="s">
        <v>37</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852</v>
      </c>
      <c r="C770" t="s">
        <v>65</v>
      </c>
      <c r="D770">
        <v>125</v>
      </c>
      <c r="E770" s="17" t="s">
        <v>38</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853</v>
      </c>
      <c r="C771" t="s">
        <v>57</v>
      </c>
      <c r="D771">
        <v>70</v>
      </c>
      <c r="E771" s="17" t="s">
        <v>38</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854</v>
      </c>
      <c r="C772" t="s">
        <v>69</v>
      </c>
      <c r="D772">
        <v>93</v>
      </c>
      <c r="E772" s="17" t="s">
        <v>40</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855</v>
      </c>
      <c r="C773" t="s">
        <v>57</v>
      </c>
      <c r="D773">
        <v>120</v>
      </c>
      <c r="E773" s="17" t="s">
        <v>39</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856</v>
      </c>
      <c r="C774" t="s">
        <v>58</v>
      </c>
      <c r="D774">
        <v>96</v>
      </c>
      <c r="E774" s="17" t="s">
        <v>41</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857</v>
      </c>
      <c r="C775" t="s">
        <v>70</v>
      </c>
      <c r="D775">
        <v>67</v>
      </c>
      <c r="E775" s="17" t="s">
        <v>41</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858</v>
      </c>
      <c r="C776" t="s">
        <v>65</v>
      </c>
      <c r="D776">
        <v>119</v>
      </c>
      <c r="E776" s="17" t="s">
        <v>41</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859</v>
      </c>
      <c r="C777" t="s">
        <v>62</v>
      </c>
      <c r="D777">
        <v>61</v>
      </c>
      <c r="E777" s="17" t="s">
        <v>37</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860</v>
      </c>
      <c r="C778" t="s">
        <v>58</v>
      </c>
      <c r="D778">
        <v>29</v>
      </c>
      <c r="E778" s="17" t="s">
        <v>40</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861</v>
      </c>
      <c r="C779" t="s">
        <v>60</v>
      </c>
      <c r="D779">
        <v>134</v>
      </c>
      <c r="E779" s="17" t="s">
        <v>39</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862</v>
      </c>
      <c r="C780" t="s">
        <v>68</v>
      </c>
      <c r="D780">
        <v>113</v>
      </c>
      <c r="E780" s="17" t="s">
        <v>41</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863</v>
      </c>
      <c r="C781" t="s">
        <v>66</v>
      </c>
      <c r="D781">
        <v>12</v>
      </c>
      <c r="E781" s="17" t="s">
        <v>39</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864</v>
      </c>
      <c r="C782" t="s">
        <v>64</v>
      </c>
      <c r="D782">
        <v>78</v>
      </c>
      <c r="E782" s="17" t="s">
        <v>40</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865</v>
      </c>
      <c r="C783" t="s">
        <v>65</v>
      </c>
      <c r="D783">
        <v>82</v>
      </c>
      <c r="E783" s="17" t="s">
        <v>38</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866</v>
      </c>
      <c r="C784" t="s">
        <v>63</v>
      </c>
      <c r="D784">
        <v>149</v>
      </c>
      <c r="E784" s="17" t="s">
        <v>37</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867</v>
      </c>
      <c r="C785" t="s">
        <v>61</v>
      </c>
      <c r="D785">
        <v>56</v>
      </c>
      <c r="E785" s="17" t="s">
        <v>39</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868</v>
      </c>
      <c r="C786" t="s">
        <v>58</v>
      </c>
      <c r="D786">
        <v>80</v>
      </c>
      <c r="E786" s="17" t="s">
        <v>37</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869</v>
      </c>
      <c r="C787" t="s">
        <v>62</v>
      </c>
      <c r="D787">
        <v>131</v>
      </c>
      <c r="E787" s="17" t="s">
        <v>41</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870</v>
      </c>
      <c r="C788" t="s">
        <v>62</v>
      </c>
      <c r="D788">
        <v>109</v>
      </c>
      <c r="E788" s="17" t="s">
        <v>41</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871</v>
      </c>
      <c r="C789" t="s">
        <v>61</v>
      </c>
      <c r="D789">
        <v>142</v>
      </c>
      <c r="E789" s="17" t="s">
        <v>41</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872</v>
      </c>
      <c r="C790" t="s">
        <v>69</v>
      </c>
      <c r="D790">
        <v>114</v>
      </c>
      <c r="E790" s="17" t="s">
        <v>39</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873</v>
      </c>
      <c r="C791" t="s">
        <v>70</v>
      </c>
      <c r="D791">
        <v>93</v>
      </c>
      <c r="E791" s="17" t="s">
        <v>37</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874</v>
      </c>
      <c r="C792" t="s">
        <v>66</v>
      </c>
      <c r="D792">
        <v>43</v>
      </c>
      <c r="E792" s="17" t="s">
        <v>37</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875</v>
      </c>
      <c r="C793" t="s">
        <v>60</v>
      </c>
      <c r="D793">
        <v>78</v>
      </c>
      <c r="E793" s="17" t="s">
        <v>40</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876</v>
      </c>
      <c r="C794" t="s">
        <v>69</v>
      </c>
      <c r="D794">
        <v>89</v>
      </c>
      <c r="E794" s="17" t="s">
        <v>41</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877</v>
      </c>
      <c r="C795" t="s">
        <v>61</v>
      </c>
      <c r="D795">
        <v>82</v>
      </c>
      <c r="E795" s="17" t="s">
        <v>38</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878</v>
      </c>
      <c r="C796" t="s">
        <v>58</v>
      </c>
      <c r="D796">
        <v>86</v>
      </c>
      <c r="E796" s="17" t="s">
        <v>41</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879</v>
      </c>
      <c r="C797" t="s">
        <v>59</v>
      </c>
      <c r="D797">
        <v>57</v>
      </c>
      <c r="E797" s="17" t="s">
        <v>40</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880</v>
      </c>
      <c r="C798" t="s">
        <v>70</v>
      </c>
      <c r="D798">
        <v>103</v>
      </c>
      <c r="E798" s="17" t="s">
        <v>39</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881</v>
      </c>
      <c r="C799" t="s">
        <v>64</v>
      </c>
      <c r="D799">
        <v>138</v>
      </c>
      <c r="E799" s="17" t="s">
        <v>40</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882</v>
      </c>
      <c r="C800" t="s">
        <v>63</v>
      </c>
      <c r="D800">
        <v>88</v>
      </c>
      <c r="E800" s="17" t="s">
        <v>38</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883</v>
      </c>
      <c r="C801" t="s">
        <v>69</v>
      </c>
      <c r="D801">
        <v>118</v>
      </c>
      <c r="E801" s="17" t="s">
        <v>37</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884</v>
      </c>
      <c r="C802" t="s">
        <v>58</v>
      </c>
      <c r="D802">
        <v>4</v>
      </c>
      <c r="E802" s="17" t="s">
        <v>41</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885</v>
      </c>
      <c r="C803" t="s">
        <v>66</v>
      </c>
      <c r="D803">
        <v>78</v>
      </c>
      <c r="E803" s="17" t="s">
        <v>39</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886</v>
      </c>
      <c r="C804" t="s">
        <v>68</v>
      </c>
      <c r="D804">
        <v>69</v>
      </c>
      <c r="E804" s="17" t="s">
        <v>41</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887</v>
      </c>
      <c r="C805" t="s">
        <v>61</v>
      </c>
      <c r="D805">
        <v>90</v>
      </c>
      <c r="E805" s="17" t="s">
        <v>40</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888</v>
      </c>
      <c r="C806" t="s">
        <v>68</v>
      </c>
      <c r="D806">
        <v>134</v>
      </c>
      <c r="E806" s="17" t="s">
        <v>41</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889</v>
      </c>
      <c r="C807" t="s">
        <v>57</v>
      </c>
      <c r="D807">
        <v>65</v>
      </c>
      <c r="E807" s="17" t="s">
        <v>37</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890</v>
      </c>
      <c r="C808" t="s">
        <v>67</v>
      </c>
      <c r="D808">
        <v>54</v>
      </c>
      <c r="E808" s="17" t="s">
        <v>39</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891</v>
      </c>
      <c r="C809" t="s">
        <v>67</v>
      </c>
      <c r="D809">
        <v>90</v>
      </c>
      <c r="E809" s="17" t="s">
        <v>39</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892</v>
      </c>
      <c r="C810" t="s">
        <v>61</v>
      </c>
      <c r="D810">
        <v>66</v>
      </c>
      <c r="E810" s="17" t="s">
        <v>39</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893</v>
      </c>
      <c r="C811" t="s">
        <v>58</v>
      </c>
      <c r="D811">
        <v>150</v>
      </c>
      <c r="E811" s="17" t="s">
        <v>39</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894</v>
      </c>
      <c r="C812" t="s">
        <v>60</v>
      </c>
      <c r="D812">
        <v>18</v>
      </c>
      <c r="E812" s="17" t="s">
        <v>37</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895</v>
      </c>
      <c r="C813" t="s">
        <v>67</v>
      </c>
      <c r="D813">
        <v>87</v>
      </c>
      <c r="E813" s="17" t="s">
        <v>37</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896</v>
      </c>
      <c r="C814" t="s">
        <v>64</v>
      </c>
      <c r="D814">
        <v>94</v>
      </c>
      <c r="E814" s="17" t="s">
        <v>39</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897</v>
      </c>
      <c r="C815" t="s">
        <v>59</v>
      </c>
      <c r="D815">
        <v>56</v>
      </c>
      <c r="E815" s="17" t="s">
        <v>39</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898</v>
      </c>
      <c r="C816" t="s">
        <v>69</v>
      </c>
      <c r="D816">
        <v>41</v>
      </c>
      <c r="E816" s="17" t="s">
        <v>38</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899</v>
      </c>
      <c r="C817" t="s">
        <v>58</v>
      </c>
      <c r="D817">
        <v>119</v>
      </c>
      <c r="E817" s="17" t="s">
        <v>40</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900</v>
      </c>
      <c r="C818" t="s">
        <v>70</v>
      </c>
      <c r="D818">
        <v>108</v>
      </c>
      <c r="E818" s="17" t="s">
        <v>39</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901</v>
      </c>
      <c r="C819" t="s">
        <v>66</v>
      </c>
      <c r="D819">
        <v>63</v>
      </c>
      <c r="E819" s="17" t="s">
        <v>41</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902</v>
      </c>
      <c r="C820" t="s">
        <v>65</v>
      </c>
      <c r="D820">
        <v>59</v>
      </c>
      <c r="E820" s="17" t="s">
        <v>39</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903</v>
      </c>
      <c r="C821" t="s">
        <v>65</v>
      </c>
      <c r="D821">
        <v>90</v>
      </c>
      <c r="E821" s="17" t="s">
        <v>38</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904</v>
      </c>
      <c r="C822" t="s">
        <v>63</v>
      </c>
      <c r="D822">
        <v>55</v>
      </c>
      <c r="E822" s="17" t="s">
        <v>38</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905</v>
      </c>
      <c r="C823" t="s">
        <v>70</v>
      </c>
      <c r="D823">
        <v>84</v>
      </c>
      <c r="E823" s="17" t="s">
        <v>40</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906</v>
      </c>
      <c r="C824" t="s">
        <v>70</v>
      </c>
      <c r="D824">
        <v>150</v>
      </c>
      <c r="E824" s="17" t="s">
        <v>37</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907</v>
      </c>
      <c r="C825" t="s">
        <v>62</v>
      </c>
      <c r="D825">
        <v>69</v>
      </c>
      <c r="E825" s="17" t="s">
        <v>39</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908</v>
      </c>
      <c r="C826" t="s">
        <v>56</v>
      </c>
      <c r="D826">
        <v>120</v>
      </c>
      <c r="E826" s="17" t="s">
        <v>38</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909</v>
      </c>
      <c r="C827" t="s">
        <v>67</v>
      </c>
      <c r="D827">
        <v>126</v>
      </c>
      <c r="E827" s="17" t="s">
        <v>40</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910</v>
      </c>
      <c r="C828" t="s">
        <v>62</v>
      </c>
      <c r="D828">
        <v>120</v>
      </c>
      <c r="E828" s="17" t="s">
        <v>41</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911</v>
      </c>
      <c r="C829" t="s">
        <v>67</v>
      </c>
      <c r="D829">
        <v>139</v>
      </c>
      <c r="E829" s="17" t="s">
        <v>38</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912</v>
      </c>
      <c r="C830" t="s">
        <v>63</v>
      </c>
      <c r="D830">
        <v>124</v>
      </c>
      <c r="E830" s="17" t="s">
        <v>39</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913</v>
      </c>
      <c r="C831" t="s">
        <v>56</v>
      </c>
      <c r="D831">
        <v>108</v>
      </c>
      <c r="E831" s="17" t="s">
        <v>41</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914</v>
      </c>
      <c r="C832" t="s">
        <v>57</v>
      </c>
      <c r="D832">
        <v>132</v>
      </c>
      <c r="E832" s="17" t="s">
        <v>37</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915</v>
      </c>
      <c r="C833" t="s">
        <v>66</v>
      </c>
      <c r="D833">
        <v>67</v>
      </c>
      <c r="E833" s="17" t="s">
        <v>37</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916</v>
      </c>
      <c r="C834" t="s">
        <v>61</v>
      </c>
      <c r="D834">
        <v>125</v>
      </c>
      <c r="E834" s="17" t="s">
        <v>37</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917</v>
      </c>
      <c r="C835" t="s">
        <v>56</v>
      </c>
      <c r="D835">
        <v>23</v>
      </c>
      <c r="E835" s="17" t="s">
        <v>41</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918</v>
      </c>
      <c r="C836" t="s">
        <v>58</v>
      </c>
      <c r="D836">
        <v>131</v>
      </c>
      <c r="E836" s="17" t="s">
        <v>39</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919</v>
      </c>
      <c r="C837" t="s">
        <v>57</v>
      </c>
      <c r="D837">
        <v>56</v>
      </c>
      <c r="E837" s="17" t="s">
        <v>38</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920</v>
      </c>
      <c r="C838" t="s">
        <v>58</v>
      </c>
      <c r="D838">
        <v>70</v>
      </c>
      <c r="E838" s="17" t="s">
        <v>39</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921</v>
      </c>
      <c r="C839" t="s">
        <v>58</v>
      </c>
      <c r="D839">
        <v>55</v>
      </c>
      <c r="E839" s="17" t="s">
        <v>37</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922</v>
      </c>
      <c r="C840" t="s">
        <v>61</v>
      </c>
      <c r="D840">
        <v>77</v>
      </c>
      <c r="E840" s="17" t="s">
        <v>38</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923</v>
      </c>
      <c r="C841" t="s">
        <v>70</v>
      </c>
      <c r="D841">
        <v>133</v>
      </c>
      <c r="E841" s="17" t="s">
        <v>39</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924</v>
      </c>
      <c r="C842" t="s">
        <v>61</v>
      </c>
      <c r="D842">
        <v>77</v>
      </c>
      <c r="E842" s="17" t="s">
        <v>38</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925</v>
      </c>
      <c r="C843" t="s">
        <v>65</v>
      </c>
      <c r="D843">
        <v>103</v>
      </c>
      <c r="E843" s="17" t="s">
        <v>39</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926</v>
      </c>
      <c r="C844" t="s">
        <v>62</v>
      </c>
      <c r="D844">
        <v>32</v>
      </c>
      <c r="E844" s="17" t="s">
        <v>38</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927</v>
      </c>
      <c r="C845" t="s">
        <v>70</v>
      </c>
      <c r="D845">
        <v>30</v>
      </c>
      <c r="E845" s="17" t="s">
        <v>39</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928</v>
      </c>
      <c r="C846" t="s">
        <v>67</v>
      </c>
      <c r="D846">
        <v>87</v>
      </c>
      <c r="E846" s="17" t="s">
        <v>40</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929</v>
      </c>
      <c r="C847" t="s">
        <v>61</v>
      </c>
      <c r="D847">
        <v>137</v>
      </c>
      <c r="E847" s="17" t="s">
        <v>41</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930</v>
      </c>
      <c r="C848" t="s">
        <v>64</v>
      </c>
      <c r="D848">
        <v>96</v>
      </c>
      <c r="E848" s="17" t="s">
        <v>39</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931</v>
      </c>
      <c r="C849" t="s">
        <v>63</v>
      </c>
      <c r="D849">
        <v>155</v>
      </c>
      <c r="E849" s="17" t="s">
        <v>39</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932</v>
      </c>
      <c r="C850" t="s">
        <v>70</v>
      </c>
      <c r="D850">
        <v>173</v>
      </c>
      <c r="E850" s="17" t="s">
        <v>37</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933</v>
      </c>
      <c r="C851" t="s">
        <v>63</v>
      </c>
      <c r="D851">
        <v>127</v>
      </c>
      <c r="E851" s="17" t="s">
        <v>39</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934</v>
      </c>
      <c r="C852" t="s">
        <v>57</v>
      </c>
      <c r="D852">
        <v>117</v>
      </c>
      <c r="E852" s="17" t="s">
        <v>37</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935</v>
      </c>
      <c r="C853" t="s">
        <v>56</v>
      </c>
      <c r="D853">
        <v>133</v>
      </c>
      <c r="E853" s="17" t="s">
        <v>38</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936</v>
      </c>
      <c r="C854" t="s">
        <v>60</v>
      </c>
      <c r="D854">
        <v>166</v>
      </c>
      <c r="E854" s="17" t="s">
        <v>40</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937</v>
      </c>
      <c r="C855" t="s">
        <v>56</v>
      </c>
      <c r="D855">
        <v>50</v>
      </c>
      <c r="E855" s="17" t="s">
        <v>37</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938</v>
      </c>
      <c r="C856" t="s">
        <v>65</v>
      </c>
      <c r="D856">
        <v>43</v>
      </c>
      <c r="E856" s="17" t="s">
        <v>38</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939</v>
      </c>
      <c r="C857" t="s">
        <v>64</v>
      </c>
      <c r="D857">
        <v>124</v>
      </c>
      <c r="E857" s="17" t="s">
        <v>39</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940</v>
      </c>
      <c r="C858" t="s">
        <v>70</v>
      </c>
      <c r="D858">
        <v>94</v>
      </c>
      <c r="E858" s="17" t="s">
        <v>39</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941</v>
      </c>
      <c r="C859" t="s">
        <v>65</v>
      </c>
      <c r="D859">
        <v>126</v>
      </c>
      <c r="E859" s="17" t="s">
        <v>40</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942</v>
      </c>
      <c r="C860" t="s">
        <v>60</v>
      </c>
      <c r="D860">
        <v>105</v>
      </c>
      <c r="E860" s="17" t="s">
        <v>37</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943</v>
      </c>
      <c r="C861" t="s">
        <v>58</v>
      </c>
      <c r="D861">
        <v>60</v>
      </c>
      <c r="E861" s="17" t="s">
        <v>41</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944</v>
      </c>
      <c r="C862" t="s">
        <v>58</v>
      </c>
      <c r="D862">
        <v>72</v>
      </c>
      <c r="E862" s="17" t="s">
        <v>37</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945</v>
      </c>
      <c r="C863" t="s">
        <v>59</v>
      </c>
      <c r="D863">
        <v>40</v>
      </c>
      <c r="E863" s="17" t="s">
        <v>37</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946</v>
      </c>
      <c r="C864" t="s">
        <v>62</v>
      </c>
      <c r="D864">
        <v>54</v>
      </c>
      <c r="E864" s="17" t="s">
        <v>40</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947</v>
      </c>
      <c r="C865" t="s">
        <v>57</v>
      </c>
      <c r="D865">
        <v>81</v>
      </c>
      <c r="E865" s="17" t="s">
        <v>38</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948</v>
      </c>
      <c r="C866" t="s">
        <v>62</v>
      </c>
      <c r="D866">
        <v>76</v>
      </c>
      <c r="E866" s="17" t="s">
        <v>39</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949</v>
      </c>
      <c r="C867" t="s">
        <v>62</v>
      </c>
      <c r="D867">
        <v>37</v>
      </c>
      <c r="E867" s="17" t="s">
        <v>41</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950</v>
      </c>
      <c r="C868" t="s">
        <v>60</v>
      </c>
      <c r="D868">
        <v>96</v>
      </c>
      <c r="E868" s="17" t="s">
        <v>40</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951</v>
      </c>
      <c r="C869" t="s">
        <v>58</v>
      </c>
      <c r="D869">
        <v>19</v>
      </c>
      <c r="E869" s="17" t="s">
        <v>39</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952</v>
      </c>
      <c r="C870" t="s">
        <v>59</v>
      </c>
      <c r="D870">
        <v>72</v>
      </c>
      <c r="E870" s="17" t="s">
        <v>41</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953</v>
      </c>
      <c r="C871" t="s">
        <v>70</v>
      </c>
      <c r="D871">
        <v>73</v>
      </c>
      <c r="E871" s="17" t="s">
        <v>38</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954</v>
      </c>
      <c r="C872" t="s">
        <v>66</v>
      </c>
      <c r="D872">
        <v>87</v>
      </c>
      <c r="E872" s="17" t="s">
        <v>38</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955</v>
      </c>
      <c r="C873" t="s">
        <v>66</v>
      </c>
      <c r="D873">
        <v>68</v>
      </c>
      <c r="E873" s="17" t="s">
        <v>38</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956</v>
      </c>
      <c r="C874" t="s">
        <v>59</v>
      </c>
      <c r="D874">
        <v>101</v>
      </c>
      <c r="E874" s="17" t="s">
        <v>38</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957</v>
      </c>
      <c r="C875" t="s">
        <v>59</v>
      </c>
      <c r="D875">
        <v>107</v>
      </c>
      <c r="E875" s="17" t="s">
        <v>41</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958</v>
      </c>
      <c r="C876" t="s">
        <v>69</v>
      </c>
      <c r="D876">
        <v>109</v>
      </c>
      <c r="E876" s="17" t="s">
        <v>37</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959</v>
      </c>
      <c r="C877" t="s">
        <v>64</v>
      </c>
      <c r="D877">
        <v>171</v>
      </c>
      <c r="E877" s="17" t="s">
        <v>41</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960</v>
      </c>
      <c r="C878" t="s">
        <v>58</v>
      </c>
      <c r="D878">
        <v>21</v>
      </c>
      <c r="E878" s="17" t="s">
        <v>41</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961</v>
      </c>
      <c r="C879" t="s">
        <v>57</v>
      </c>
      <c r="D879">
        <v>94</v>
      </c>
      <c r="E879" s="17" t="s">
        <v>41</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962</v>
      </c>
      <c r="C880" t="s">
        <v>70</v>
      </c>
      <c r="D880">
        <v>97</v>
      </c>
      <c r="E880" s="17" t="s">
        <v>37</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963</v>
      </c>
      <c r="C881" t="s">
        <v>60</v>
      </c>
      <c r="D881">
        <v>72</v>
      </c>
      <c r="E881" s="17" t="s">
        <v>37</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964</v>
      </c>
      <c r="C882" t="s">
        <v>64</v>
      </c>
      <c r="D882">
        <v>143</v>
      </c>
      <c r="E882" s="17" t="s">
        <v>40</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965</v>
      </c>
      <c r="C883" t="s">
        <v>64</v>
      </c>
      <c r="D883">
        <v>64</v>
      </c>
      <c r="E883" s="17" t="s">
        <v>37</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966</v>
      </c>
      <c r="C884" t="s">
        <v>64</v>
      </c>
      <c r="D884">
        <v>69</v>
      </c>
      <c r="E884" s="17" t="s">
        <v>37</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967</v>
      </c>
      <c r="C885" t="s">
        <v>64</v>
      </c>
      <c r="D885">
        <v>18</v>
      </c>
      <c r="E885" s="17" t="s">
        <v>39</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968</v>
      </c>
      <c r="C886" t="s">
        <v>70</v>
      </c>
      <c r="D886">
        <v>100</v>
      </c>
      <c r="E886" s="17" t="s">
        <v>40</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969</v>
      </c>
      <c r="C887" t="s">
        <v>63</v>
      </c>
      <c r="D887">
        <v>110</v>
      </c>
      <c r="E887" s="17" t="s">
        <v>38</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970</v>
      </c>
      <c r="C888" t="s">
        <v>68</v>
      </c>
      <c r="D888">
        <v>41</v>
      </c>
      <c r="E888" s="17" t="s">
        <v>41</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971</v>
      </c>
      <c r="C889" t="s">
        <v>63</v>
      </c>
      <c r="D889">
        <v>147</v>
      </c>
      <c r="E889" s="17" t="s">
        <v>38</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972</v>
      </c>
      <c r="C890" t="s">
        <v>57</v>
      </c>
      <c r="D890">
        <v>31</v>
      </c>
      <c r="E890" s="17" t="s">
        <v>39</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973</v>
      </c>
      <c r="C891" t="s">
        <v>66</v>
      </c>
      <c r="D891">
        <v>142</v>
      </c>
      <c r="E891" s="17" t="s">
        <v>41</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974</v>
      </c>
      <c r="C892" t="s">
        <v>69</v>
      </c>
      <c r="D892">
        <v>61</v>
      </c>
      <c r="E892" s="17" t="s">
        <v>41</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975</v>
      </c>
      <c r="C893" t="s">
        <v>56</v>
      </c>
      <c r="D893">
        <v>86</v>
      </c>
      <c r="E893" s="17" t="s">
        <v>39</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976</v>
      </c>
      <c r="C894" t="s">
        <v>67</v>
      </c>
      <c r="D894">
        <v>165</v>
      </c>
      <c r="E894" s="17" t="s">
        <v>40</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977</v>
      </c>
      <c r="C895" t="s">
        <v>62</v>
      </c>
      <c r="D895">
        <v>62</v>
      </c>
      <c r="E895" s="17" t="s">
        <v>38</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978</v>
      </c>
      <c r="C896" t="s">
        <v>70</v>
      </c>
      <c r="D896">
        <v>103</v>
      </c>
      <c r="E896" s="17" t="s">
        <v>40</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979</v>
      </c>
      <c r="C897" t="s">
        <v>66</v>
      </c>
      <c r="D897">
        <v>56</v>
      </c>
      <c r="E897" s="17" t="s">
        <v>39</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980</v>
      </c>
      <c r="C898" t="s">
        <v>59</v>
      </c>
      <c r="D898">
        <v>114</v>
      </c>
      <c r="E898" s="17" t="s">
        <v>41</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981</v>
      </c>
      <c r="C899" t="s">
        <v>66</v>
      </c>
      <c r="D899">
        <v>112</v>
      </c>
      <c r="E899" s="17" t="s">
        <v>37</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982</v>
      </c>
      <c r="C900" t="s">
        <v>61</v>
      </c>
      <c r="D900">
        <v>52</v>
      </c>
      <c r="E900" s="17" t="s">
        <v>38</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983</v>
      </c>
      <c r="C901" t="s">
        <v>70</v>
      </c>
      <c r="D901">
        <v>105</v>
      </c>
      <c r="E901" s="17" t="s">
        <v>40</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984</v>
      </c>
      <c r="C902" t="s">
        <v>67</v>
      </c>
      <c r="D902">
        <v>91</v>
      </c>
      <c r="E902" s="17" t="s">
        <v>39</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985</v>
      </c>
      <c r="C903" t="s">
        <v>65</v>
      </c>
      <c r="D903">
        <v>74</v>
      </c>
      <c r="E903" s="17" t="s">
        <v>41</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986</v>
      </c>
      <c r="C904" t="s">
        <v>65</v>
      </c>
      <c r="D904">
        <v>30</v>
      </c>
      <c r="E904" s="17" t="s">
        <v>39</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987</v>
      </c>
      <c r="C905" t="s">
        <v>67</v>
      </c>
      <c r="D905">
        <v>56</v>
      </c>
      <c r="E905" s="17" t="s">
        <v>38</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988</v>
      </c>
      <c r="C906" t="s">
        <v>65</v>
      </c>
      <c r="D906">
        <v>151</v>
      </c>
      <c r="E906" s="17" t="s">
        <v>37</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989</v>
      </c>
      <c r="C907" t="s">
        <v>57</v>
      </c>
      <c r="D907">
        <v>108</v>
      </c>
      <c r="E907" s="17" t="s">
        <v>40</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990</v>
      </c>
      <c r="C908" t="s">
        <v>59</v>
      </c>
      <c r="D908">
        <v>124</v>
      </c>
      <c r="E908" s="17" t="s">
        <v>41</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991</v>
      </c>
      <c r="C909" t="s">
        <v>70</v>
      </c>
      <c r="D909">
        <v>110</v>
      </c>
      <c r="E909" s="17" t="s">
        <v>38</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992</v>
      </c>
      <c r="C910" t="s">
        <v>63</v>
      </c>
      <c r="D910">
        <v>89</v>
      </c>
      <c r="E910" s="17" t="s">
        <v>40</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993</v>
      </c>
      <c r="C911" t="s">
        <v>56</v>
      </c>
      <c r="D911">
        <v>95</v>
      </c>
      <c r="E911" s="17" t="s">
        <v>38</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994</v>
      </c>
      <c r="C912" t="s">
        <v>65</v>
      </c>
      <c r="D912">
        <v>84</v>
      </c>
      <c r="E912" s="17" t="s">
        <v>40</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995</v>
      </c>
      <c r="C913" t="s">
        <v>60</v>
      </c>
      <c r="D913">
        <v>89</v>
      </c>
      <c r="E913" s="17" t="s">
        <v>41</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996</v>
      </c>
      <c r="C914" t="s">
        <v>63</v>
      </c>
      <c r="D914">
        <v>146</v>
      </c>
      <c r="E914" s="17" t="s">
        <v>41</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997</v>
      </c>
      <c r="C915" t="s">
        <v>64</v>
      </c>
      <c r="D915">
        <v>62</v>
      </c>
      <c r="E915" s="17" t="s">
        <v>39</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998</v>
      </c>
      <c r="C916" t="s">
        <v>66</v>
      </c>
      <c r="D916">
        <v>82</v>
      </c>
      <c r="E916" s="17" t="s">
        <v>41</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999</v>
      </c>
      <c r="C917" t="s">
        <v>69</v>
      </c>
      <c r="D917">
        <v>91</v>
      </c>
      <c r="E917" s="17" t="s">
        <v>37</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1000</v>
      </c>
      <c r="C918" t="s">
        <v>60</v>
      </c>
      <c r="D918">
        <v>39</v>
      </c>
      <c r="E918" s="17" t="s">
        <v>41</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1001</v>
      </c>
      <c r="C919" t="s">
        <v>63</v>
      </c>
      <c r="D919">
        <v>149</v>
      </c>
      <c r="E919" s="17" t="s">
        <v>38</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1002</v>
      </c>
      <c r="C920" t="s">
        <v>66</v>
      </c>
      <c r="D920">
        <v>138</v>
      </c>
      <c r="E920" s="17" t="s">
        <v>39</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1003</v>
      </c>
      <c r="C921" t="s">
        <v>64</v>
      </c>
      <c r="D921">
        <v>113</v>
      </c>
      <c r="E921" s="17" t="s">
        <v>38</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1004</v>
      </c>
      <c r="C922" t="s">
        <v>58</v>
      </c>
      <c r="D922">
        <v>88</v>
      </c>
      <c r="E922" s="17" t="s">
        <v>41</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1005</v>
      </c>
      <c r="C923" t="s">
        <v>56</v>
      </c>
      <c r="D923">
        <v>64</v>
      </c>
      <c r="E923" s="17" t="s">
        <v>39</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1006</v>
      </c>
      <c r="C924" t="s">
        <v>67</v>
      </c>
      <c r="D924">
        <v>53</v>
      </c>
      <c r="E924" s="17" t="s">
        <v>39</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1007</v>
      </c>
      <c r="C925" t="s">
        <v>59</v>
      </c>
      <c r="D925">
        <v>63</v>
      </c>
      <c r="E925" s="17" t="s">
        <v>38</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1008</v>
      </c>
      <c r="C926" t="s">
        <v>61</v>
      </c>
      <c r="D926">
        <v>54</v>
      </c>
      <c r="E926" s="17" t="s">
        <v>38</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1009</v>
      </c>
      <c r="C927" t="s">
        <v>59</v>
      </c>
      <c r="D927">
        <v>54</v>
      </c>
      <c r="E927" s="17" t="s">
        <v>41</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1010</v>
      </c>
      <c r="C928" t="s">
        <v>63</v>
      </c>
      <c r="D928">
        <v>71</v>
      </c>
      <c r="E928" s="17" t="s">
        <v>39</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1011</v>
      </c>
      <c r="C929" t="s">
        <v>59</v>
      </c>
      <c r="D929">
        <v>93</v>
      </c>
      <c r="E929" s="17" t="s">
        <v>41</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1012</v>
      </c>
      <c r="C930" t="s">
        <v>70</v>
      </c>
      <c r="D930">
        <v>96</v>
      </c>
      <c r="E930" s="17" t="s">
        <v>38</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1013</v>
      </c>
      <c r="C931" t="s">
        <v>60</v>
      </c>
      <c r="D931">
        <v>31</v>
      </c>
      <c r="E931" s="17" t="s">
        <v>37</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1014</v>
      </c>
      <c r="C932" t="s">
        <v>59</v>
      </c>
      <c r="D932">
        <v>107</v>
      </c>
      <c r="E932" s="17" t="s">
        <v>39</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1015</v>
      </c>
      <c r="C933" t="s">
        <v>67</v>
      </c>
      <c r="D933">
        <v>50</v>
      </c>
      <c r="E933" s="17" t="s">
        <v>37</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1016</v>
      </c>
      <c r="C934" t="s">
        <v>66</v>
      </c>
      <c r="D934">
        <v>69</v>
      </c>
      <c r="E934" s="17" t="s">
        <v>39</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1017</v>
      </c>
      <c r="C935" t="s">
        <v>58</v>
      </c>
      <c r="D935">
        <v>26</v>
      </c>
      <c r="E935" s="17" t="s">
        <v>38</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1018</v>
      </c>
      <c r="C936" t="s">
        <v>70</v>
      </c>
      <c r="D936">
        <v>158</v>
      </c>
      <c r="E936" s="17" t="s">
        <v>39</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1019</v>
      </c>
      <c r="C937" t="s">
        <v>61</v>
      </c>
      <c r="D937">
        <v>99</v>
      </c>
      <c r="E937" s="17" t="s">
        <v>39</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1020</v>
      </c>
      <c r="C938" t="s">
        <v>70</v>
      </c>
      <c r="D938">
        <v>78</v>
      </c>
      <c r="E938" s="17" t="s">
        <v>37</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1021</v>
      </c>
      <c r="C939" t="s">
        <v>70</v>
      </c>
      <c r="D939">
        <v>102</v>
      </c>
      <c r="E939" s="17" t="s">
        <v>38</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1022</v>
      </c>
      <c r="C940" t="s">
        <v>61</v>
      </c>
      <c r="D940">
        <v>158</v>
      </c>
      <c r="E940" s="17" t="s">
        <v>40</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1023</v>
      </c>
      <c r="C941" t="s">
        <v>60</v>
      </c>
      <c r="D941">
        <v>56</v>
      </c>
      <c r="E941" s="17" t="s">
        <v>39</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1024</v>
      </c>
      <c r="C942" t="s">
        <v>57</v>
      </c>
      <c r="D942">
        <v>17</v>
      </c>
      <c r="E942" s="17" t="s">
        <v>41</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1025</v>
      </c>
      <c r="C943" t="s">
        <v>58</v>
      </c>
      <c r="D943">
        <v>104</v>
      </c>
      <c r="E943" s="17" t="s">
        <v>40</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1026</v>
      </c>
      <c r="C944" t="s">
        <v>65</v>
      </c>
      <c r="D944">
        <v>96</v>
      </c>
      <c r="E944" s="17" t="s">
        <v>37</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1027</v>
      </c>
      <c r="C945" t="s">
        <v>69</v>
      </c>
      <c r="D945">
        <v>83</v>
      </c>
      <c r="E945" s="17" t="s">
        <v>38</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1028</v>
      </c>
      <c r="C946" t="s">
        <v>67</v>
      </c>
      <c r="D946">
        <v>80</v>
      </c>
      <c r="E946" s="17" t="s">
        <v>41</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1029</v>
      </c>
      <c r="C947" t="s">
        <v>69</v>
      </c>
      <c r="D947">
        <v>152</v>
      </c>
      <c r="E947" s="17" t="s">
        <v>38</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1030</v>
      </c>
      <c r="C948" t="s">
        <v>63</v>
      </c>
      <c r="D948">
        <v>34</v>
      </c>
      <c r="E948" s="17" t="s">
        <v>37</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1031</v>
      </c>
      <c r="C949" t="s">
        <v>64</v>
      </c>
      <c r="D949">
        <v>2</v>
      </c>
      <c r="E949" s="17" t="s">
        <v>39</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1032</v>
      </c>
      <c r="C950" t="s">
        <v>67</v>
      </c>
      <c r="D950">
        <v>140</v>
      </c>
      <c r="E950" s="17" t="s">
        <v>37</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1033</v>
      </c>
      <c r="C951" t="s">
        <v>57</v>
      </c>
      <c r="D951">
        <v>126</v>
      </c>
      <c r="E951" s="17" t="s">
        <v>40</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1034</v>
      </c>
      <c r="C952" t="s">
        <v>70</v>
      </c>
      <c r="D952">
        <v>79</v>
      </c>
      <c r="E952" s="17" t="s">
        <v>39</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1035</v>
      </c>
      <c r="C953" t="s">
        <v>57</v>
      </c>
      <c r="D953">
        <v>133</v>
      </c>
      <c r="E953" s="17" t="s">
        <v>40</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1036</v>
      </c>
      <c r="C954" t="s">
        <v>63</v>
      </c>
      <c r="D954">
        <v>97</v>
      </c>
      <c r="E954" s="17" t="s">
        <v>41</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1037</v>
      </c>
      <c r="C955" t="s">
        <v>70</v>
      </c>
      <c r="D955">
        <v>102</v>
      </c>
      <c r="E955" s="17" t="s">
        <v>38</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1038</v>
      </c>
      <c r="C956" t="s">
        <v>68</v>
      </c>
      <c r="D956">
        <v>62</v>
      </c>
      <c r="E956" s="17" t="s">
        <v>41</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1039</v>
      </c>
      <c r="C957" t="s">
        <v>57</v>
      </c>
      <c r="D957">
        <v>149</v>
      </c>
      <c r="E957" s="17" t="s">
        <v>38</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1040</v>
      </c>
      <c r="C958" t="s">
        <v>64</v>
      </c>
      <c r="D958">
        <v>133</v>
      </c>
      <c r="E958" s="17" t="s">
        <v>41</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1041</v>
      </c>
      <c r="C959" t="s">
        <v>70</v>
      </c>
      <c r="D959">
        <v>51</v>
      </c>
      <c r="E959" s="17" t="s">
        <v>39</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1042</v>
      </c>
      <c r="C960" t="s">
        <v>68</v>
      </c>
      <c r="D960">
        <v>110</v>
      </c>
      <c r="E960" s="17" t="s">
        <v>41</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1043</v>
      </c>
      <c r="C961" t="s">
        <v>63</v>
      </c>
      <c r="D961">
        <v>38</v>
      </c>
      <c r="E961" s="17" t="s">
        <v>40</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1044</v>
      </c>
      <c r="C962" t="s">
        <v>64</v>
      </c>
      <c r="D962">
        <v>78</v>
      </c>
      <c r="E962" s="17" t="s">
        <v>40</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1045</v>
      </c>
      <c r="C963" t="s">
        <v>63</v>
      </c>
      <c r="D963">
        <v>25</v>
      </c>
      <c r="E963" s="17" t="s">
        <v>38</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1046</v>
      </c>
      <c r="C964" t="s">
        <v>59</v>
      </c>
      <c r="D964">
        <v>50</v>
      </c>
      <c r="E964" s="17" t="s">
        <v>39</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1047</v>
      </c>
      <c r="C965" t="s">
        <v>63</v>
      </c>
      <c r="D965">
        <v>103</v>
      </c>
      <c r="E965" s="17" t="s">
        <v>38</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1048</v>
      </c>
      <c r="C966" t="s">
        <v>69</v>
      </c>
      <c r="D966">
        <v>63</v>
      </c>
      <c r="E966" s="17" t="s">
        <v>37</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1049</v>
      </c>
      <c r="C967" t="s">
        <v>59</v>
      </c>
      <c r="D967">
        <v>96</v>
      </c>
      <c r="E967" s="17" t="s">
        <v>39</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1050</v>
      </c>
      <c r="C968" t="s">
        <v>67</v>
      </c>
      <c r="D968">
        <v>94</v>
      </c>
      <c r="E968" s="17" t="s">
        <v>38</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1051</v>
      </c>
      <c r="C969" t="s">
        <v>68</v>
      </c>
      <c r="D969">
        <v>46</v>
      </c>
      <c r="E969" s="17" t="s">
        <v>40</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1052</v>
      </c>
      <c r="C970" t="s">
        <v>62</v>
      </c>
      <c r="D970">
        <v>127</v>
      </c>
      <c r="E970" s="17" t="s">
        <v>39</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1053</v>
      </c>
      <c r="C971" t="s">
        <v>61</v>
      </c>
      <c r="D971">
        <v>96</v>
      </c>
      <c r="E971" s="17" t="s">
        <v>40</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1054</v>
      </c>
      <c r="C972" t="s">
        <v>66</v>
      </c>
      <c r="D972">
        <v>151</v>
      </c>
      <c r="E972" s="17" t="s">
        <v>38</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1055</v>
      </c>
      <c r="C973" t="s">
        <v>62</v>
      </c>
      <c r="D973">
        <v>158</v>
      </c>
      <c r="E973" s="17" t="s">
        <v>41</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1056</v>
      </c>
      <c r="C974" t="s">
        <v>67</v>
      </c>
      <c r="D974">
        <v>45</v>
      </c>
      <c r="E974" s="17" t="s">
        <v>41</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1057</v>
      </c>
      <c r="C975" t="s">
        <v>60</v>
      </c>
      <c r="D975">
        <v>141</v>
      </c>
      <c r="E975" s="17" t="s">
        <v>41</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1058</v>
      </c>
      <c r="C976" t="s">
        <v>63</v>
      </c>
      <c r="D976">
        <v>147</v>
      </c>
      <c r="E976" s="17" t="s">
        <v>40</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1059</v>
      </c>
      <c r="C977" t="s">
        <v>65</v>
      </c>
      <c r="D977">
        <v>126</v>
      </c>
      <c r="E977" s="17" t="s">
        <v>40</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1060</v>
      </c>
      <c r="C978" t="s">
        <v>67</v>
      </c>
      <c r="D978">
        <v>126</v>
      </c>
      <c r="E978" s="17" t="s">
        <v>37</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1061</v>
      </c>
      <c r="C979" t="s">
        <v>64</v>
      </c>
      <c r="D979">
        <v>32</v>
      </c>
      <c r="E979" s="17" t="s">
        <v>40</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1062</v>
      </c>
      <c r="C980" t="s">
        <v>67</v>
      </c>
      <c r="D980">
        <v>84</v>
      </c>
      <c r="E980" s="17" t="s">
        <v>39</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1063</v>
      </c>
      <c r="C981" t="s">
        <v>69</v>
      </c>
      <c r="D981">
        <v>120</v>
      </c>
      <c r="E981" s="17" t="s">
        <v>37</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1064</v>
      </c>
      <c r="C982" t="s">
        <v>58</v>
      </c>
      <c r="D982">
        <v>93</v>
      </c>
      <c r="E982" s="17" t="s">
        <v>40</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1065</v>
      </c>
      <c r="C983" t="s">
        <v>61</v>
      </c>
      <c r="D983">
        <v>76</v>
      </c>
      <c r="E983" s="17" t="s">
        <v>38</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1066</v>
      </c>
      <c r="C984" t="s">
        <v>62</v>
      </c>
      <c r="D984">
        <v>89</v>
      </c>
      <c r="E984" s="17" t="s">
        <v>40</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1067</v>
      </c>
      <c r="C985" t="s">
        <v>70</v>
      </c>
      <c r="D985">
        <v>91</v>
      </c>
      <c r="E985" s="17" t="s">
        <v>39</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1068</v>
      </c>
      <c r="C986" t="s">
        <v>68</v>
      </c>
      <c r="D986">
        <v>7</v>
      </c>
      <c r="E986" s="17" t="s">
        <v>41</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1069</v>
      </c>
      <c r="C987" t="s">
        <v>64</v>
      </c>
      <c r="D987">
        <v>140</v>
      </c>
      <c r="E987" s="17" t="s">
        <v>41</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1070</v>
      </c>
      <c r="C988" t="s">
        <v>57</v>
      </c>
      <c r="D988">
        <v>58</v>
      </c>
      <c r="E988" s="17" t="s">
        <v>37</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1071</v>
      </c>
      <c r="C989" t="s">
        <v>56</v>
      </c>
      <c r="D989">
        <v>90</v>
      </c>
      <c r="E989" s="17" t="s">
        <v>38</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1072</v>
      </c>
      <c r="C990" t="s">
        <v>56</v>
      </c>
      <c r="D990">
        <v>106</v>
      </c>
      <c r="E990" s="17" t="s">
        <v>40</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1073</v>
      </c>
      <c r="C991" t="s">
        <v>69</v>
      </c>
      <c r="D991">
        <v>72</v>
      </c>
      <c r="E991" s="17" t="s">
        <v>41</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1074</v>
      </c>
      <c r="C992" t="s">
        <v>68</v>
      </c>
      <c r="D992">
        <v>124</v>
      </c>
      <c r="E992" s="17" t="s">
        <v>41</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1075</v>
      </c>
      <c r="C993" t="s">
        <v>60</v>
      </c>
      <c r="D993">
        <v>86</v>
      </c>
      <c r="E993" s="17" t="s">
        <v>39</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1076</v>
      </c>
      <c r="C994" t="s">
        <v>67</v>
      </c>
      <c r="D994">
        <v>164</v>
      </c>
      <c r="E994" s="17" t="s">
        <v>39</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1077</v>
      </c>
      <c r="C995" t="s">
        <v>58</v>
      </c>
      <c r="D995">
        <v>40</v>
      </c>
      <c r="E995" s="17" t="s">
        <v>38</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1078</v>
      </c>
      <c r="C996" t="s">
        <v>70</v>
      </c>
      <c r="D996">
        <v>76</v>
      </c>
      <c r="E996" s="17" t="s">
        <v>37</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1079</v>
      </c>
      <c r="C997" t="s">
        <v>68</v>
      </c>
      <c r="D997">
        <v>95</v>
      </c>
      <c r="E997" s="17" t="s">
        <v>40</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1080</v>
      </c>
      <c r="C998" t="s">
        <v>70</v>
      </c>
      <c r="D998">
        <v>113</v>
      </c>
      <c r="E998" s="17" t="s">
        <v>41</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1081</v>
      </c>
      <c r="C999" t="s">
        <v>60</v>
      </c>
      <c r="D999">
        <v>81</v>
      </c>
      <c r="E999" s="17" t="s">
        <v>41</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1082</v>
      </c>
      <c r="C1000" t="s">
        <v>61</v>
      </c>
      <c r="D1000">
        <v>127</v>
      </c>
      <c r="E1000" s="17" t="s">
        <v>40</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1083</v>
      </c>
      <c r="C1001" t="s">
        <v>64</v>
      </c>
      <c r="D1001">
        <v>146</v>
      </c>
      <c r="E1001" s="17" t="s">
        <v>41</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1084</v>
      </c>
      <c r="C1002" t="s">
        <v>63</v>
      </c>
      <c r="D1002">
        <v>123</v>
      </c>
      <c r="E1002" s="17" t="s">
        <v>41</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1085</v>
      </c>
      <c r="C1003" t="s">
        <v>69</v>
      </c>
      <c r="D1003">
        <v>114</v>
      </c>
      <c r="E1003" s="17" t="s">
        <v>37</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637EE-0C02-4B9A-B17F-064D4CC49567}">
  <dimension ref="E2:F7"/>
  <sheetViews>
    <sheetView zoomScale="115" zoomScaleNormal="115" workbookViewId="0">
      <selection activeCell="F3" sqref="F3"/>
    </sheetView>
  </sheetViews>
  <sheetFormatPr defaultRowHeight="14.25"/>
  <cols>
    <col min="5" max="5" width="10.875" customWidth="1"/>
    <col min="6" max="6" width="10.5" customWidth="1"/>
  </cols>
  <sheetData>
    <row r="2" spans="5:6">
      <c r="E2" t="s">
        <v>1086</v>
      </c>
      <c r="F2" t="s">
        <v>1087</v>
      </c>
    </row>
    <row r="3" spans="5:6" ht="25.5" customHeight="1">
      <c r="E3" t="s">
        <v>37</v>
      </c>
      <c r="F3" t="e" vm="1">
        <v>#VALUE!</v>
      </c>
    </row>
    <row r="4" spans="5:6" ht="25.5" customHeight="1">
      <c r="E4" t="s">
        <v>38</v>
      </c>
      <c r="F4" t="e" vm="2">
        <v>#VALUE!</v>
      </c>
    </row>
    <row r="5" spans="5:6" ht="25.5" customHeight="1">
      <c r="E5" t="s">
        <v>39</v>
      </c>
      <c r="F5" t="e" vm="3">
        <v>#VALUE!</v>
      </c>
    </row>
    <row r="6" spans="5:6" ht="25.5" customHeight="1">
      <c r="E6" t="s">
        <v>40</v>
      </c>
      <c r="F6" t="e" vm="4">
        <v>#VALUE!</v>
      </c>
    </row>
    <row r="7" spans="5:6" ht="25.5" customHeight="1">
      <c r="E7" t="s">
        <v>41</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Centre Report</vt:lpstr>
      <vt:lpstr>Pivot</vt:lpstr>
      <vt:lpstr>Data</vt:lpstr>
      <vt:lpstr>Assets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Sys</cp:lastModifiedBy>
  <cp:revision/>
  <dcterms:created xsi:type="dcterms:W3CDTF">2021-03-14T20:21:32Z</dcterms:created>
  <dcterms:modified xsi:type="dcterms:W3CDTF">2025-11-10T13:41:52Z</dcterms:modified>
  <cp:category/>
  <cp:contentStatus/>
</cp:coreProperties>
</file>